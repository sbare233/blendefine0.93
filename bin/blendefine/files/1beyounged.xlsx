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50" windowHeight="129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<sst xmlns="http://schemas.openxmlformats.org/spreadsheetml/2006/main" count="134" uniqueCount="130">
  <si>
    <t>175 0 0 1 0</t>
  </si>
  <si>
    <t>406 1 0 0 0</t>
  </si>
  <si>
    <t>637 0 0 0 1</t>
  </si>
  <si>
    <t>752 1 0 0 0</t>
  </si>
  <si>
    <t>983 0 1 0 0</t>
  </si>
  <si>
    <t>1098 1 0 0 0</t>
  </si>
  <si>
    <t>1329 0 0 1 0</t>
  </si>
  <si>
    <t>1444 0 1 0 0</t>
  </si>
  <si>
    <t>1675 0 0 0 1</t>
  </si>
  <si>
    <t>1790 1 0 0 0</t>
  </si>
  <si>
    <t>leadintro</t>
  </si>
  <si>
    <t>2021 0 1 0 0</t>
  </si>
  <si>
    <t>2252 0 0 0 1</t>
  </si>
  <si>
    <t>2483 1 0 0 0</t>
  </si>
  <si>
    <t>2598 0 0 0 1</t>
  </si>
  <si>
    <t>2829 1 0 0 0</t>
  </si>
  <si>
    <t>2944 0 1 0 0</t>
  </si>
  <si>
    <t>3175 0 1 0 0</t>
  </si>
  <si>
    <t>3290 0 0 1 0</t>
  </si>
  <si>
    <t>3521 1 0 0 0</t>
  </si>
  <si>
    <t>3637 0 0 0 1</t>
  </si>
  <si>
    <t>3867 0 1 0 0</t>
  </si>
  <si>
    <t>4098 0 0 0 1</t>
  </si>
  <si>
    <t>4329 1 0 0 0</t>
  </si>
  <si>
    <t>4444 0 0 0 1</t>
  </si>
  <si>
    <t>4675 1 0 0 0</t>
  </si>
  <si>
    <t>4790 0 1 0 0</t>
  </si>
  <si>
    <t>5021 0 1 0 0</t>
  </si>
  <si>
    <t>5137 0 0 1 0</t>
  </si>
  <si>
    <t>5367 1 0 0 0</t>
  </si>
  <si>
    <t>5483 0 0 0 1</t>
  </si>
  <si>
    <t>5713 0 0 0 1</t>
  </si>
  <si>
    <t>5944 1 0 0 0</t>
  </si>
  <si>
    <t>6175 0 0 0 1</t>
  </si>
  <si>
    <t>6290 1 0 0 0</t>
  </si>
  <si>
    <t>6521 0 1 0 0</t>
  </si>
  <si>
    <t>6637 1 0 0 0</t>
  </si>
  <si>
    <t>6867 0 0 1 0</t>
  </si>
  <si>
    <t>6983 0 1 0 0</t>
  </si>
  <si>
    <t>7213 0 0 0 1</t>
  </si>
  <si>
    <t>7329 1 0 0 0</t>
  </si>
  <si>
    <t>7560 0 0 1 0</t>
  </si>
  <si>
    <t>7790 1 0 0 0</t>
  </si>
  <si>
    <t>8021 0 0 0 1</t>
  </si>
  <si>
    <t>8137 1 0 0 0</t>
  </si>
  <si>
    <t>8367 0 1 0 0</t>
  </si>
  <si>
    <t>8483 1 0 0 0</t>
  </si>
  <si>
    <t>8713 0 0 1 0</t>
  </si>
  <si>
    <t>8829 0 1 0 0</t>
  </si>
  <si>
    <t>9060 0 0 0 1</t>
  </si>
  <si>
    <t>9175 1 0 0 0</t>
  </si>
  <si>
    <t>9406 0 1 0 0</t>
  </si>
  <si>
    <t>9637 0 0 0 1</t>
  </si>
  <si>
    <t>9867 1 0 0 0</t>
  </si>
  <si>
    <t>9983 0 0 0 1</t>
  </si>
  <si>
    <t>10213 1 0 0 0</t>
  </si>
  <si>
    <t>10329 0 1 0 0</t>
  </si>
  <si>
    <t>10560 0 1 0 0</t>
  </si>
  <si>
    <t>10675 0 0 1 0</t>
  </si>
  <si>
    <t>10906 1 0 0 0</t>
  </si>
  <si>
    <t>11021 0 0 0 1</t>
  </si>
  <si>
    <t>11252 1 0 0 0</t>
  </si>
  <si>
    <t>11483 0 0 0 1</t>
  </si>
  <si>
    <t>11713 1 0 0 0</t>
  </si>
  <si>
    <t>11829 0 0 0 1</t>
  </si>
  <si>
    <t>12060 1 0 0 0</t>
  </si>
  <si>
    <t>12175 0 1 0 0</t>
  </si>
  <si>
    <t>12406 0 1 0 0</t>
  </si>
  <si>
    <t>12521 0 0 1 0</t>
  </si>
  <si>
    <t>12752 1 0 0 0</t>
  </si>
  <si>
    <t>12867 0 0 0 1</t>
  </si>
  <si>
    <t>13098 0 0 1 0</t>
  </si>
  <si>
    <t>13329 1 0 0 0</t>
  </si>
  <si>
    <t>13560 0 0 0 1</t>
  </si>
  <si>
    <t>13675 1 0 0 0</t>
  </si>
  <si>
    <t>13906 0 1 0 0</t>
  </si>
  <si>
    <t>14021 1 0 0 0</t>
  </si>
  <si>
    <t>14252 0 0 1 0</t>
  </si>
  <si>
    <t>14367 0 1 0 0</t>
  </si>
  <si>
    <t>14598 0 0 0 1</t>
  </si>
  <si>
    <t>14713 1 0 0 0</t>
  </si>
  <si>
    <t>pad</t>
  </si>
  <si>
    <t>双押开始</t>
  </si>
  <si>
    <t>16个小节</t>
  </si>
  <si>
    <t>kick</t>
  </si>
  <si>
    <t>55560 1 0 0 0</t>
  </si>
  <si>
    <t>56020 1 0 0 0</t>
  </si>
  <si>
    <t>56480 1 0 0 0</t>
  </si>
  <si>
    <t>56940 1 0 0 0</t>
  </si>
  <si>
    <t>57400 1 0 0 0</t>
  </si>
  <si>
    <t>57860 1 0 0 0</t>
  </si>
  <si>
    <t>58320 1 0 0 0</t>
  </si>
  <si>
    <t>58780 1 0 0 0</t>
  </si>
  <si>
    <t>59240 1 0 0 1</t>
  </si>
  <si>
    <t>buildup</t>
  </si>
  <si>
    <t>drop</t>
  </si>
  <si>
    <t>loop</t>
  </si>
  <si>
    <t>loop3</t>
  </si>
  <si>
    <t>loop4</t>
  </si>
  <si>
    <t>leadbridge</t>
  </si>
  <si>
    <t>string</t>
  </si>
  <si>
    <t>122021 1 0 0 0</t>
  </si>
  <si>
    <t>122367 1 0 0 0</t>
  </si>
  <si>
    <t>122713 0 1 0 0</t>
  </si>
  <si>
    <t>123060 0 1 0 0</t>
  </si>
  <si>
    <t>123429 0 1 0 0</t>
  </si>
  <si>
    <t>123637 0 0 0 1</t>
  </si>
  <si>
    <t>123867 0 1 0 0</t>
  </si>
  <si>
    <t>124213 0 1 0 0</t>
  </si>
  <si>
    <t>124560 1 0 0 0</t>
  </si>
  <si>
    <t>124906 1 0 0 0</t>
  </si>
  <si>
    <t>125252 1 0 0 0</t>
  </si>
  <si>
    <t>125483 0 1 0 0</t>
  </si>
  <si>
    <t>125713 1 0 0 0</t>
  </si>
  <si>
    <t>125944 1 0 0 0</t>
  </si>
  <si>
    <t>126175 1 0 0 0</t>
  </si>
  <si>
    <t>126406 1 0 0 0</t>
  </si>
  <si>
    <t>126637 0 0 0 1</t>
  </si>
  <si>
    <t>126752 0 0 0 1</t>
  </si>
  <si>
    <t>126867 0 0 0 1</t>
  </si>
  <si>
    <t>127213 0 0 0 1</t>
  </si>
  <si>
    <t>127444 1 0 0 0</t>
  </si>
  <si>
    <t>127675 0 0 1 0</t>
  </si>
  <si>
    <t>127791 0 1 0 0</t>
  </si>
  <si>
    <t>127907 0 0 1 0</t>
  </si>
  <si>
    <t>128023 0 1 0 0</t>
  </si>
  <si>
    <t>128139 0 0 0 1</t>
  </si>
  <si>
    <t>128367 1 0 0 0</t>
  </si>
  <si>
    <t>128598 1 0 0 0</t>
  </si>
  <si>
    <t>128829 0 0 0 1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</si>
</sst>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562"/>
  <sheetViews>
    <sheetView tabSelected="1" zoomScale="85" zoomScaleNormal="85" topLeftCell="A317" workbookViewId="0">
      <selection activeCell="G3" sqref="G3"/>
    </sheetView>
  </sheetViews>
  <sheetFormatPr defaultColWidth="9" defaultRowHeight="13.5"/>
  <cols>
    <col min="1" max="1" width="12.625"/>
    <col min="2" max="2" width="9.25" customWidth="1"/>
    <col min="4" max="4" width="12.625"/>
    <col min="7" max="7" width="12.625"/>
    <col min="8" max="8" width="5.5" customWidth="1"/>
    <col min="9" max="9" width="6.5" customWidth="1"/>
    <col min="10" max="10" width="8.675" customWidth="1"/>
    <col min="11" max="11" width="5.75" customWidth="1"/>
    <col min="22" max="22" width="8.75" customWidth="1"/>
    <col min="23" max="23" width="9.375" customWidth="1"/>
    <col min="24" max="24" width="8.25" customWidth="1"/>
    <col min="25" max="25" width="8.75" customWidth="1"/>
  </cols>
  <sheetData>
    <row r="1" spans="1:22">
      <c r="A1">
        <v>1</v>
      </c>
      <c r="B1">
        <f>ROUND(6000/260*16*10*A1,0)</f>
        <v>3692</v>
      </c>
      <c r="C1">
        <v>175</v>
      </c>
      <c r="D1">
        <v>175</v>
      </c>
      <c r="E1" cm="1">
        <f t="array" ref="E1">INDEX(C:C,MATCH(MIN(ABS(C:C-D1)),ABS(C:C-D1),0))</f>
        <v>175</v>
      </c>
      <c r="F1">
        <f>ROUNDDOWN((ROW(F1)-1)/20,0)</f>
        <v>0</v>
      </c>
      <c r="H1">
        <v>1</v>
      </c>
      <c r="I1">
        <v>2</v>
      </c>
      <c r="J1">
        <v>3</v>
      </c>
      <c r="K1">
        <v>4</v>
      </c>
      <c r="L1" cm="1">
        <f t="array" ref="L1:O1">_xlfn.SORTBY($R$3:$U$3,H1:K1)</f>
        <v>0</v>
      </c>
      <c r="M1">
        <v>0</v>
      </c>
      <c r="N1">
        <v>1</v>
      </c>
      <c r="O1">
        <v>1</v>
      </c>
      <c r="P1" t="str">
        <f>E1&amp;" "&amp;L1&amp;" "&amp;M1&amp;" "&amp;N1&amp;" "&amp;O1</f>
        <v>175 0 0 1 1</v>
      </c>
      <c r="R1">
        <v>1</v>
      </c>
      <c r="S1">
        <v>1</v>
      </c>
      <c r="T1">
        <v>1</v>
      </c>
      <c r="U1">
        <v>1</v>
      </c>
      <c r="V1" t="s">
        <v>0</v>
      </c>
    </row>
    <row r="2" spans="1:22">
      <c r="A2">
        <v>2</v>
      </c>
      <c r="B2">
        <f t="shared" ref="B2:B7" si="0">ROUND(6000/260*16*10*A2,0)</f>
        <v>7385</v>
      </c>
      <c r="C2">
        <v>198</v>
      </c>
      <c r="D2">
        <v>406</v>
      </c>
      <c r="E2" cm="1">
        <f t="array" ref="E2">INDEX(C:C,MATCH(MIN(ABS(C:C-D2)),ABS(C:C-D2),0))</f>
        <v>406</v>
      </c>
      <c r="F2">
        <f t="shared" ref="F2:F28" si="1">ROUNDDOWN((ROW(F2)-1)/20,0)</f>
        <v>0</v>
      </c>
      <c r="G2">
        <f>E2-E1</f>
        <v>231</v>
      </c>
      <c r="H2">
        <v>4</v>
      </c>
      <c r="I2">
        <v>3</v>
      </c>
      <c r="J2">
        <v>2</v>
      </c>
      <c r="K2">
        <v>1</v>
      </c>
      <c r="L2" cm="1">
        <f t="array" ref="L2:O2">_xlfn.SORTBY($R$4:$U$4,H2:K2)</f>
        <v>1</v>
      </c>
      <c r="M2">
        <v>0</v>
      </c>
      <c r="N2">
        <v>0</v>
      </c>
      <c r="O2">
        <v>0</v>
      </c>
      <c r="P2" t="str">
        <f t="shared" ref="P2:P10" si="2">E2&amp;" "&amp;L2&amp;" "&amp;M2&amp;" "&amp;N2&amp;" "&amp;O2</f>
        <v>406 1 0 0 0</v>
      </c>
      <c r="R2">
        <v>0</v>
      </c>
      <c r="S2">
        <v>1</v>
      </c>
      <c r="T2">
        <v>1</v>
      </c>
      <c r="U2">
        <v>1</v>
      </c>
      <c r="V2" t="s">
        <v>1</v>
      </c>
    </row>
    <row r="3" spans="1:22">
      <c r="A3">
        <v>3</v>
      </c>
      <c r="B3">
        <f t="shared" si="0"/>
        <v>11077</v>
      </c>
      <c r="C3">
        <v>221</v>
      </c>
      <c r="D3">
        <v>640</v>
      </c>
      <c r="E3" cm="1">
        <f t="array" ref="E3">INDEX(C:C,MATCH(MIN(ABS(C:C-D3)),ABS(C:C-D3),0))</f>
        <v>637</v>
      </c>
      <c r="F3">
        <f t="shared" si="1"/>
        <v>0</v>
      </c>
      <c r="G3">
        <f t="shared" ref="G3:G34" si="3">E3-E2</f>
        <v>231</v>
      </c>
      <c r="H3">
        <v>1</v>
      </c>
      <c r="I3">
        <v>3</v>
      </c>
      <c r="J3">
        <v>2</v>
      </c>
      <c r="K3">
        <v>4</v>
      </c>
      <c r="L3" cm="1">
        <f t="array" ref="L3:O3">_xlfn.SORTBY($R$4:$U$4,H3:K3)</f>
        <v>0</v>
      </c>
      <c r="M3">
        <v>0</v>
      </c>
      <c r="N3">
        <v>0</v>
      </c>
      <c r="O3">
        <v>1</v>
      </c>
      <c r="P3" t="str">
        <f t="shared" si="2"/>
        <v>637 0 0 0 1</v>
      </c>
      <c r="R3">
        <v>0</v>
      </c>
      <c r="S3">
        <v>0</v>
      </c>
      <c r="T3">
        <v>1</v>
      </c>
      <c r="U3">
        <v>1</v>
      </c>
      <c r="V3" t="s">
        <v>2</v>
      </c>
    </row>
    <row r="4" spans="1:22">
      <c r="A4">
        <v>4</v>
      </c>
      <c r="B4">
        <f t="shared" si="0"/>
        <v>14769</v>
      </c>
      <c r="C4">
        <v>244</v>
      </c>
      <c r="D4">
        <v>752</v>
      </c>
      <c r="E4" cm="1">
        <f t="array" ref="E4">INDEX(C:C,MATCH(MIN(ABS(C:C-D4)),ABS(C:C-D4),0))</f>
        <v>752</v>
      </c>
      <c r="F4">
        <f t="shared" si="1"/>
        <v>0</v>
      </c>
      <c r="G4">
        <f t="shared" si="3"/>
        <v>115</v>
      </c>
      <c r="H4">
        <v>4</v>
      </c>
      <c r="I4">
        <v>2</v>
      </c>
      <c r="J4">
        <v>3</v>
      </c>
      <c r="K4">
        <v>1</v>
      </c>
      <c r="L4" cm="1">
        <f t="array" ref="L4:O4">_xlfn.SORTBY($R$4:$U$4,H4:K4)</f>
        <v>1</v>
      </c>
      <c r="M4">
        <v>0</v>
      </c>
      <c r="N4">
        <v>0</v>
      </c>
      <c r="O4">
        <v>0</v>
      </c>
      <c r="P4" t="str">
        <f t="shared" si="2"/>
        <v>752 1 0 0 0</v>
      </c>
      <c r="R4">
        <v>0</v>
      </c>
      <c r="S4">
        <v>0</v>
      </c>
      <c r="T4">
        <v>0</v>
      </c>
      <c r="U4">
        <v>1</v>
      </c>
      <c r="V4" t="s">
        <v>3</v>
      </c>
    </row>
    <row r="5" spans="1:22">
      <c r="A5">
        <v>5</v>
      </c>
      <c r="B5">
        <f t="shared" si="0"/>
        <v>18462</v>
      </c>
      <c r="C5">
        <v>267</v>
      </c>
      <c r="D5">
        <v>983</v>
      </c>
      <c r="E5" cm="1">
        <f t="array" ref="E5">INDEX(C:C,MATCH(MIN(ABS(C:C-D5)),ABS(C:C-D5),0))</f>
        <v>983</v>
      </c>
      <c r="F5">
        <f t="shared" si="1"/>
        <v>0</v>
      </c>
      <c r="G5">
        <f t="shared" si="3"/>
        <v>231</v>
      </c>
      <c r="H5">
        <v>1</v>
      </c>
      <c r="I5">
        <v>4</v>
      </c>
      <c r="J5">
        <v>3</v>
      </c>
      <c r="K5">
        <v>2</v>
      </c>
      <c r="L5" cm="1">
        <f t="array" ref="L5:O5">_xlfn.SORTBY($R$4:$U$4,H5:K5)</f>
        <v>0</v>
      </c>
      <c r="M5">
        <v>1</v>
      </c>
      <c r="N5">
        <v>0</v>
      </c>
      <c r="O5">
        <v>0</v>
      </c>
      <c r="P5" t="str">
        <f t="shared" si="2"/>
        <v>983 0 1 0 0</v>
      </c>
      <c r="V5" t="s">
        <v>4</v>
      </c>
    </row>
    <row r="6" spans="1:22">
      <c r="A6">
        <v>6</v>
      </c>
      <c r="B6">
        <f t="shared" si="0"/>
        <v>22154</v>
      </c>
      <c r="C6">
        <v>290</v>
      </c>
      <c r="D6">
        <v>1098</v>
      </c>
      <c r="E6" cm="1">
        <f t="array" ref="E6">INDEX(C:C,MATCH(MIN(ABS(C:C-D6)),ABS(C:C-D6),0))</f>
        <v>1098</v>
      </c>
      <c r="F6">
        <f t="shared" si="1"/>
        <v>0</v>
      </c>
      <c r="G6">
        <f t="shared" si="3"/>
        <v>115</v>
      </c>
      <c r="H6">
        <v>2</v>
      </c>
      <c r="I6">
        <v>3</v>
      </c>
      <c r="J6">
        <v>4</v>
      </c>
      <c r="K6">
        <v>1</v>
      </c>
      <c r="L6" cm="1">
        <f t="array" ref="L6:O6">_xlfn.SORTBY($R$4:$U$4,H6:K6)</f>
        <v>1</v>
      </c>
      <c r="M6">
        <v>0</v>
      </c>
      <c r="N6">
        <v>0</v>
      </c>
      <c r="O6">
        <v>0</v>
      </c>
      <c r="P6" t="str">
        <f t="shared" si="2"/>
        <v>1098 1 0 0 0</v>
      </c>
      <c r="V6" t="s">
        <v>5</v>
      </c>
    </row>
    <row r="7" spans="1:22">
      <c r="A7">
        <v>7</v>
      </c>
      <c r="B7">
        <f t="shared" si="0"/>
        <v>25846</v>
      </c>
      <c r="C7">
        <v>313</v>
      </c>
      <c r="D7">
        <v>1329</v>
      </c>
      <c r="E7" cm="1">
        <f t="array" ref="E7">INDEX(C:C,MATCH(MIN(ABS(C:C-D7)),ABS(C:C-D7),0))</f>
        <v>1329</v>
      </c>
      <c r="F7">
        <f t="shared" si="1"/>
        <v>0</v>
      </c>
      <c r="G7">
        <f t="shared" si="3"/>
        <v>231</v>
      </c>
      <c r="H7">
        <v>2</v>
      </c>
      <c r="I7">
        <v>1</v>
      </c>
      <c r="J7">
        <v>4</v>
      </c>
      <c r="K7">
        <v>3</v>
      </c>
      <c r="L7" cm="1">
        <f t="array" ref="L7:O7">_xlfn.SORTBY($R$4:$U$4,H7:K7)</f>
        <v>0</v>
      </c>
      <c r="M7">
        <v>0</v>
      </c>
      <c r="N7">
        <v>1</v>
      </c>
      <c r="O7">
        <v>0</v>
      </c>
      <c r="P7" t="str">
        <f t="shared" si="2"/>
        <v>1329 0 0 1 0</v>
      </c>
      <c r="V7" t="s">
        <v>6</v>
      </c>
    </row>
    <row r="8" spans="1:22">
      <c r="C8">
        <v>337</v>
      </c>
      <c r="D8">
        <v>1444</v>
      </c>
      <c r="E8" cm="1">
        <f t="array" ref="E8">INDEX(C:C,MATCH(MIN(ABS(C:C-D8)),ABS(C:C-D8),0))</f>
        <v>1444</v>
      </c>
      <c r="F8">
        <f t="shared" si="1"/>
        <v>0</v>
      </c>
      <c r="G8">
        <f t="shared" si="3"/>
        <v>115</v>
      </c>
      <c r="H8">
        <v>3</v>
      </c>
      <c r="I8">
        <v>4</v>
      </c>
      <c r="J8">
        <v>1</v>
      </c>
      <c r="K8">
        <v>2</v>
      </c>
      <c r="L8" cm="1">
        <f t="array" ref="L8:O8">_xlfn.SORTBY($R$4:$U$4,H8:K8)</f>
        <v>0</v>
      </c>
      <c r="M8">
        <v>1</v>
      </c>
      <c r="N8">
        <v>0</v>
      </c>
      <c r="O8">
        <v>0</v>
      </c>
      <c r="P8" t="str">
        <f t="shared" si="2"/>
        <v>1444 0 1 0 0</v>
      </c>
      <c r="V8" t="s">
        <v>7</v>
      </c>
    </row>
    <row r="9" spans="1:22">
      <c r="C9">
        <v>360</v>
      </c>
      <c r="D9">
        <v>1675</v>
      </c>
      <c r="E9" cm="1">
        <f t="array" ref="E9">INDEX(C:C,MATCH(MIN(ABS(C:C-D9)),ABS(C:C-D9),0))</f>
        <v>1675</v>
      </c>
      <c r="F9">
        <f t="shared" si="1"/>
        <v>0</v>
      </c>
      <c r="G9">
        <f t="shared" si="3"/>
        <v>231</v>
      </c>
      <c r="H9">
        <v>1</v>
      </c>
      <c r="I9">
        <v>3</v>
      </c>
      <c r="J9">
        <v>2</v>
      </c>
      <c r="K9">
        <v>4</v>
      </c>
      <c r="L9" cm="1">
        <f t="array" ref="L9:O9">_xlfn.SORTBY($R$4:$U$4,H9:K9)</f>
        <v>0</v>
      </c>
      <c r="M9">
        <v>0</v>
      </c>
      <c r="N9">
        <v>0</v>
      </c>
      <c r="O9">
        <v>1</v>
      </c>
      <c r="P9" t="str">
        <f t="shared" si="2"/>
        <v>1675 0 0 0 1</v>
      </c>
      <c r="V9" t="s">
        <v>8</v>
      </c>
    </row>
    <row r="10" spans="1:22">
      <c r="C10">
        <v>383</v>
      </c>
      <c r="D10">
        <v>1790</v>
      </c>
      <c r="E10" cm="1">
        <f t="array" ref="E10">INDEX(C:C,MATCH(MIN(ABS(C:C-D10)),ABS(C:C-D10),0))</f>
        <v>1790</v>
      </c>
      <c r="F10">
        <f t="shared" si="1"/>
        <v>0</v>
      </c>
      <c r="G10">
        <f t="shared" si="3"/>
        <v>115</v>
      </c>
      <c r="H10">
        <v>3</v>
      </c>
      <c r="I10">
        <v>2</v>
      </c>
      <c r="J10">
        <v>4</v>
      </c>
      <c r="K10">
        <v>1</v>
      </c>
      <c r="L10" cm="1">
        <f t="array" ref="L10:O10">_xlfn.SORTBY($R$4:$U$4,H10:K10)</f>
        <v>1</v>
      </c>
      <c r="M10">
        <v>0</v>
      </c>
      <c r="N10">
        <v>0</v>
      </c>
      <c r="O10">
        <v>0</v>
      </c>
      <c r="P10" t="str">
        <f t="shared" si="2"/>
        <v>1790 1 0 0 0</v>
      </c>
      <c r="V10" t="s">
        <v>9</v>
      </c>
    </row>
    <row r="11" spans="1:22">
      <c r="A11" t="s">
        <v>10</v>
      </c>
      <c r="C11">
        <v>406</v>
      </c>
      <c r="D11">
        <v>2021</v>
      </c>
      <c r="E11" cm="1">
        <f t="array" ref="E11">INDEX(C:C,MATCH(MIN(ABS(C:C-D11)),ABS(C:C-D11),0))</f>
        <v>2021</v>
      </c>
      <c r="F11">
        <f t="shared" si="1"/>
        <v>0</v>
      </c>
      <c r="G11">
        <f t="shared" si="3"/>
        <v>231</v>
      </c>
      <c r="H11">
        <v>4</v>
      </c>
      <c r="I11">
        <v>3</v>
      </c>
      <c r="J11">
        <v>2</v>
      </c>
      <c r="K11">
        <v>1</v>
      </c>
      <c r="L11" cm="1">
        <f t="array" ref="L11:O11">_xlfn.SORTBY($R$3:$U$3,H11:K11)</f>
        <v>1</v>
      </c>
      <c r="M11">
        <v>1</v>
      </c>
      <c r="N11">
        <v>0</v>
      </c>
      <c r="O11">
        <v>0</v>
      </c>
      <c r="P11" t="str">
        <f t="shared" ref="P11:P20" si="4">E11&amp;" "&amp;L11&amp;" "&amp;M11&amp;" "&amp;N11&amp;" "&amp;O11</f>
        <v>2021 1 1 0 0</v>
      </c>
      <c r="V11" t="s">
        <v>11</v>
      </c>
    </row>
    <row r="12" spans="1:22">
      <c r="C12">
        <v>429</v>
      </c>
      <c r="D12">
        <v>2252</v>
      </c>
      <c r="E12" cm="1">
        <f t="array" ref="E12">INDEX(C:C,MATCH(MIN(ABS(C:C-D12)),ABS(C:C-D12),0))</f>
        <v>2252</v>
      </c>
      <c r="F12">
        <f t="shared" si="1"/>
        <v>0</v>
      </c>
      <c r="G12">
        <f t="shared" si="3"/>
        <v>231</v>
      </c>
      <c r="H12">
        <v>1</v>
      </c>
      <c r="I12">
        <v>2</v>
      </c>
      <c r="J12">
        <v>3</v>
      </c>
      <c r="K12">
        <v>4</v>
      </c>
      <c r="L12" cm="1">
        <f t="array" ref="L12:O12">_xlfn.SORTBY($R$4:$U$4,H12:K12)</f>
        <v>0</v>
      </c>
      <c r="M12">
        <v>0</v>
      </c>
      <c r="N12">
        <v>0</v>
      </c>
      <c r="O12">
        <v>1</v>
      </c>
      <c r="P12" t="str">
        <f t="shared" si="4"/>
        <v>2252 0 0 0 1</v>
      </c>
      <c r="V12" t="s">
        <v>12</v>
      </c>
    </row>
    <row r="13" spans="1:22">
      <c r="C13">
        <v>452</v>
      </c>
      <c r="D13">
        <v>2483</v>
      </c>
      <c r="E13" cm="1">
        <f t="array" ref="E13">INDEX(C:C,MATCH(MIN(ABS(C:C-D13)),ABS(C:C-D13),0))</f>
        <v>2483</v>
      </c>
      <c r="F13">
        <f t="shared" si="1"/>
        <v>0</v>
      </c>
      <c r="G13">
        <f t="shared" si="3"/>
        <v>231</v>
      </c>
      <c r="H13">
        <v>4</v>
      </c>
      <c r="I13">
        <v>2</v>
      </c>
      <c r="J13">
        <v>3</v>
      </c>
      <c r="K13">
        <v>1</v>
      </c>
      <c r="L13" cm="1">
        <f t="array" ref="L13:O13">_xlfn.SORTBY($R$4:$U$4,H13:K13)</f>
        <v>1</v>
      </c>
      <c r="M13">
        <v>0</v>
      </c>
      <c r="N13">
        <v>0</v>
      </c>
      <c r="O13">
        <v>0</v>
      </c>
      <c r="P13" t="str">
        <f t="shared" si="4"/>
        <v>2483 1 0 0 0</v>
      </c>
      <c r="V13" t="s">
        <v>13</v>
      </c>
    </row>
    <row r="14" spans="1:22">
      <c r="C14">
        <v>475</v>
      </c>
      <c r="D14">
        <v>2598</v>
      </c>
      <c r="E14" cm="1">
        <f t="array" ref="E14">INDEX(C:C,MATCH(MIN(ABS(C:C-D14)),ABS(C:C-D14),0))</f>
        <v>2598</v>
      </c>
      <c r="F14">
        <f t="shared" si="1"/>
        <v>0</v>
      </c>
      <c r="G14">
        <f t="shared" si="3"/>
        <v>115</v>
      </c>
      <c r="H14">
        <v>1</v>
      </c>
      <c r="I14">
        <v>3</v>
      </c>
      <c r="J14">
        <v>2</v>
      </c>
      <c r="K14">
        <v>4</v>
      </c>
      <c r="L14" cm="1">
        <f t="array" ref="L14:O14">_xlfn.SORTBY($R$4:$U$4,H14:K14)</f>
        <v>0</v>
      </c>
      <c r="M14">
        <v>0</v>
      </c>
      <c r="N14">
        <v>0</v>
      </c>
      <c r="O14">
        <v>1</v>
      </c>
      <c r="P14" t="str">
        <f t="shared" si="4"/>
        <v>2598 0 0 0 1</v>
      </c>
      <c r="V14" t="s">
        <v>14</v>
      </c>
    </row>
    <row r="15" spans="1:22">
      <c r="C15">
        <v>498</v>
      </c>
      <c r="D15">
        <v>2829</v>
      </c>
      <c r="E15" cm="1">
        <f t="array" ref="E15">INDEX(C:C,MATCH(MIN(ABS(C:C-D15)),ABS(C:C-D15),0))</f>
        <v>2829</v>
      </c>
      <c r="F15">
        <f t="shared" si="1"/>
        <v>0</v>
      </c>
      <c r="G15">
        <f t="shared" si="3"/>
        <v>231</v>
      </c>
      <c r="H15">
        <v>2</v>
      </c>
      <c r="I15">
        <v>3</v>
      </c>
      <c r="J15">
        <v>4</v>
      </c>
      <c r="K15">
        <v>1</v>
      </c>
      <c r="L15" cm="1">
        <f t="array" ref="L15:O15">_xlfn.SORTBY($R$4:$U$4,H15:K15)</f>
        <v>1</v>
      </c>
      <c r="M15">
        <v>0</v>
      </c>
      <c r="N15">
        <v>0</v>
      </c>
      <c r="O15">
        <v>0</v>
      </c>
      <c r="P15" t="str">
        <f t="shared" si="4"/>
        <v>2829 1 0 0 0</v>
      </c>
      <c r="V15" t="s">
        <v>15</v>
      </c>
    </row>
    <row r="16" spans="1:22">
      <c r="C16">
        <v>521</v>
      </c>
      <c r="D16">
        <v>2944</v>
      </c>
      <c r="E16" cm="1">
        <f t="array" ref="E16">INDEX(C:C,MATCH(MIN(ABS(C:C-D16)),ABS(C:C-D16),0))</f>
        <v>2944</v>
      </c>
      <c r="F16">
        <f t="shared" si="1"/>
        <v>0</v>
      </c>
      <c r="G16">
        <f t="shared" si="3"/>
        <v>115</v>
      </c>
      <c r="H16">
        <v>1</v>
      </c>
      <c r="I16">
        <v>4</v>
      </c>
      <c r="J16">
        <v>3</v>
      </c>
      <c r="K16">
        <v>2</v>
      </c>
      <c r="L16" cm="1">
        <f t="array" ref="L16:O16">_xlfn.SORTBY($R$4:$U$4,H16:K16)</f>
        <v>0</v>
      </c>
      <c r="M16">
        <v>1</v>
      </c>
      <c r="N16">
        <v>0</v>
      </c>
      <c r="O16">
        <v>0</v>
      </c>
      <c r="P16" t="str">
        <f t="shared" si="4"/>
        <v>2944 0 1 0 0</v>
      </c>
      <c r="V16" t="s">
        <v>16</v>
      </c>
    </row>
    <row r="17" spans="3:22">
      <c r="C17">
        <v>544</v>
      </c>
      <c r="D17">
        <v>3175</v>
      </c>
      <c r="E17" cm="1">
        <f t="array" ref="E17">INDEX(C:C,MATCH(MIN(ABS(C:C-D17)),ABS(C:C-D17),0))</f>
        <v>3175</v>
      </c>
      <c r="F17">
        <f t="shared" si="1"/>
        <v>0</v>
      </c>
      <c r="G17">
        <f t="shared" si="3"/>
        <v>231</v>
      </c>
      <c r="H17">
        <v>3</v>
      </c>
      <c r="I17">
        <v>4</v>
      </c>
      <c r="J17">
        <v>1</v>
      </c>
      <c r="K17">
        <v>2</v>
      </c>
      <c r="L17" cm="1">
        <f t="array" ref="L17:O17">_xlfn.SORTBY($R$4:$U$4,H17:K17)</f>
        <v>0</v>
      </c>
      <c r="M17">
        <v>1</v>
      </c>
      <c r="N17">
        <v>0</v>
      </c>
      <c r="O17">
        <v>0</v>
      </c>
      <c r="P17" t="str">
        <f t="shared" si="4"/>
        <v>3175 0 1 0 0</v>
      </c>
      <c r="V17" t="s">
        <v>17</v>
      </c>
    </row>
    <row r="18" spans="3:22">
      <c r="C18">
        <v>567</v>
      </c>
      <c r="D18">
        <v>3290</v>
      </c>
      <c r="E18" cm="1">
        <f t="array" ref="E18">INDEX(C:C,MATCH(MIN(ABS(C:C-D18)),ABS(C:C-D18),0))</f>
        <v>3290</v>
      </c>
      <c r="F18">
        <f t="shared" si="1"/>
        <v>0</v>
      </c>
      <c r="G18">
        <f t="shared" si="3"/>
        <v>115</v>
      </c>
      <c r="H18">
        <v>2</v>
      </c>
      <c r="I18">
        <v>1</v>
      </c>
      <c r="J18">
        <v>4</v>
      </c>
      <c r="K18">
        <v>3</v>
      </c>
      <c r="L18" cm="1">
        <f t="array" ref="L18:O18">_xlfn.SORTBY($R$4:$U$4,H18:K18)</f>
        <v>0</v>
      </c>
      <c r="M18">
        <v>0</v>
      </c>
      <c r="N18">
        <v>1</v>
      </c>
      <c r="O18">
        <v>0</v>
      </c>
      <c r="P18" t="str">
        <f t="shared" si="4"/>
        <v>3290 0 0 1 0</v>
      </c>
      <c r="V18" t="s">
        <v>18</v>
      </c>
    </row>
    <row r="19" spans="3:22">
      <c r="C19">
        <v>590</v>
      </c>
      <c r="D19">
        <v>3521</v>
      </c>
      <c r="E19" cm="1">
        <f t="array" ref="E19">INDEX(C:C,MATCH(MIN(ABS(C:C-D19)),ABS(C:C-D19),0))</f>
        <v>3521</v>
      </c>
      <c r="F19">
        <f t="shared" si="1"/>
        <v>0</v>
      </c>
      <c r="G19">
        <f t="shared" si="3"/>
        <v>231</v>
      </c>
      <c r="H19">
        <v>3</v>
      </c>
      <c r="I19">
        <v>2</v>
      </c>
      <c r="J19">
        <v>4</v>
      </c>
      <c r="K19">
        <v>1</v>
      </c>
      <c r="L19" cm="1">
        <f t="array" ref="L19:O19">_xlfn.SORTBY($R$4:$U$4,H19:K19)</f>
        <v>1</v>
      </c>
      <c r="M19">
        <v>0</v>
      </c>
      <c r="N19">
        <v>0</v>
      </c>
      <c r="O19">
        <v>0</v>
      </c>
      <c r="P19" t="str">
        <f t="shared" si="4"/>
        <v>3521 1 0 0 0</v>
      </c>
      <c r="V19" t="s">
        <v>19</v>
      </c>
    </row>
    <row r="20" spans="3:22">
      <c r="C20">
        <v>613</v>
      </c>
      <c r="D20">
        <v>3637</v>
      </c>
      <c r="E20" cm="1">
        <f t="array" ref="E20">INDEX(C:C,MATCH(MIN(ABS(C:C-D20)),ABS(C:C-D20),0))</f>
        <v>3637</v>
      </c>
      <c r="F20">
        <f t="shared" si="1"/>
        <v>0</v>
      </c>
      <c r="G20">
        <f t="shared" si="3"/>
        <v>116</v>
      </c>
      <c r="H20">
        <v>1</v>
      </c>
      <c r="I20">
        <v>3</v>
      </c>
      <c r="J20">
        <v>2</v>
      </c>
      <c r="K20">
        <v>4</v>
      </c>
      <c r="L20" cm="1">
        <f t="array" ref="L20:O20">_xlfn.SORTBY($R$4:$U$4,H20:K20)</f>
        <v>0</v>
      </c>
      <c r="M20">
        <v>0</v>
      </c>
      <c r="N20">
        <v>0</v>
      </c>
      <c r="O20">
        <v>1</v>
      </c>
      <c r="P20" t="str">
        <f t="shared" si="4"/>
        <v>3637 0 0 0 1</v>
      </c>
      <c r="V20" t="s">
        <v>20</v>
      </c>
    </row>
    <row r="21" spans="3:22">
      <c r="C21">
        <v>637</v>
      </c>
      <c r="D21">
        <v>3873</v>
      </c>
      <c r="E21" cm="1">
        <f t="array" ref="E21">INDEX(C:C,MATCH(MIN(ABS(C:C-D21)),ABS(C:C-D21),0))</f>
        <v>3867</v>
      </c>
      <c r="F21">
        <f t="shared" si="1"/>
        <v>1</v>
      </c>
      <c r="G21">
        <f t="shared" si="3"/>
        <v>230</v>
      </c>
      <c r="H21">
        <v>4</v>
      </c>
      <c r="I21">
        <v>3</v>
      </c>
      <c r="J21">
        <v>2</v>
      </c>
      <c r="K21">
        <v>1</v>
      </c>
      <c r="L21" cm="1">
        <f t="array" ref="L21:O21">_xlfn.SORTBY($R$3:$U$3,H21:K21)</f>
        <v>1</v>
      </c>
      <c r="M21">
        <v>1</v>
      </c>
      <c r="N21">
        <v>0</v>
      </c>
      <c r="O21">
        <v>0</v>
      </c>
      <c r="P21" t="str">
        <f t="shared" ref="P21:P52" si="5">E21&amp;" "&amp;L21&amp;" "&amp;M21&amp;" "&amp;N21&amp;" "&amp;O21</f>
        <v>3867 1 1 0 0</v>
      </c>
      <c r="V21" t="s">
        <v>21</v>
      </c>
    </row>
    <row r="22" spans="3:22">
      <c r="C22">
        <v>660</v>
      </c>
      <c r="D22">
        <v>4098</v>
      </c>
      <c r="E22" cm="1">
        <f t="array" ref="E22">INDEX(C:C,MATCH(MIN(ABS(C:C-D22)),ABS(C:C-D22),0))</f>
        <v>4098</v>
      </c>
      <c r="F22">
        <f t="shared" si="1"/>
        <v>1</v>
      </c>
      <c r="G22">
        <f t="shared" si="3"/>
        <v>231</v>
      </c>
      <c r="H22">
        <v>1</v>
      </c>
      <c r="I22">
        <v>2</v>
      </c>
      <c r="J22">
        <v>3</v>
      </c>
      <c r="K22">
        <v>4</v>
      </c>
      <c r="L22" cm="1">
        <f t="array" ref="L22:O22">_xlfn.SORTBY($R$4:$U$4,H22:K22)</f>
        <v>0</v>
      </c>
      <c r="M22">
        <v>0</v>
      </c>
      <c r="N22">
        <v>0</v>
      </c>
      <c r="O22">
        <v>1</v>
      </c>
      <c r="P22" t="str">
        <f t="shared" si="5"/>
        <v>4098 0 0 0 1</v>
      </c>
      <c r="V22" t="s">
        <v>22</v>
      </c>
    </row>
    <row r="23" spans="3:22">
      <c r="C23">
        <v>683</v>
      </c>
      <c r="D23">
        <v>4329</v>
      </c>
      <c r="E23" cm="1">
        <f t="array" ref="E23">INDEX(C:C,MATCH(MIN(ABS(C:C-D23)),ABS(C:C-D23),0))</f>
        <v>4329</v>
      </c>
      <c r="F23">
        <f t="shared" si="1"/>
        <v>1</v>
      </c>
      <c r="G23">
        <f t="shared" si="3"/>
        <v>231</v>
      </c>
      <c r="H23">
        <v>4</v>
      </c>
      <c r="I23">
        <v>2</v>
      </c>
      <c r="J23">
        <v>3</v>
      </c>
      <c r="K23">
        <v>1</v>
      </c>
      <c r="L23" cm="1">
        <f t="array" ref="L23:O23">_xlfn.SORTBY($R$4:$U$4,H23:K23)</f>
        <v>1</v>
      </c>
      <c r="M23">
        <v>0</v>
      </c>
      <c r="N23">
        <v>0</v>
      </c>
      <c r="O23">
        <v>0</v>
      </c>
      <c r="P23" t="str">
        <f t="shared" si="5"/>
        <v>4329 1 0 0 0</v>
      </c>
      <c r="V23" t="s">
        <v>23</v>
      </c>
    </row>
    <row r="24" spans="3:22">
      <c r="C24">
        <v>706</v>
      </c>
      <c r="D24">
        <v>4444</v>
      </c>
      <c r="E24" cm="1">
        <f t="array" ref="E24">INDEX(C:C,MATCH(MIN(ABS(C:C-D24)),ABS(C:C-D24),0))</f>
        <v>4444</v>
      </c>
      <c r="F24">
        <f t="shared" si="1"/>
        <v>1</v>
      </c>
      <c r="G24">
        <f t="shared" si="3"/>
        <v>115</v>
      </c>
      <c r="H24">
        <v>1</v>
      </c>
      <c r="I24">
        <v>3</v>
      </c>
      <c r="J24">
        <v>2</v>
      </c>
      <c r="K24">
        <v>4</v>
      </c>
      <c r="L24" cm="1">
        <f t="array" ref="L24:O24">_xlfn.SORTBY($R$4:$U$4,H24:K24)</f>
        <v>0</v>
      </c>
      <c r="M24">
        <v>0</v>
      </c>
      <c r="N24">
        <v>0</v>
      </c>
      <c r="O24">
        <v>1</v>
      </c>
      <c r="P24" t="str">
        <f t="shared" si="5"/>
        <v>4444 0 0 0 1</v>
      </c>
      <c r="V24" t="s">
        <v>24</v>
      </c>
    </row>
    <row r="25" spans="3:22">
      <c r="C25">
        <v>729</v>
      </c>
      <c r="D25">
        <v>4675</v>
      </c>
      <c r="E25" cm="1">
        <f t="array" ref="E25">INDEX(C:C,MATCH(MIN(ABS(C:C-D25)),ABS(C:C-D25),0))</f>
        <v>4675</v>
      </c>
      <c r="F25">
        <f t="shared" si="1"/>
        <v>1</v>
      </c>
      <c r="G25">
        <f t="shared" si="3"/>
        <v>231</v>
      </c>
      <c r="H25">
        <v>2</v>
      </c>
      <c r="I25">
        <v>3</v>
      </c>
      <c r="J25">
        <v>4</v>
      </c>
      <c r="K25">
        <v>1</v>
      </c>
      <c r="L25" cm="1">
        <f t="array" ref="L25:O25">_xlfn.SORTBY($R$4:$U$4,H25:K25)</f>
        <v>1</v>
      </c>
      <c r="M25">
        <v>0</v>
      </c>
      <c r="N25">
        <v>0</v>
      </c>
      <c r="O25">
        <v>0</v>
      </c>
      <c r="P25" t="str">
        <f t="shared" si="5"/>
        <v>4675 1 0 0 0</v>
      </c>
      <c r="V25" t="s">
        <v>25</v>
      </c>
    </row>
    <row r="26" spans="3:22">
      <c r="C26">
        <v>752</v>
      </c>
      <c r="D26">
        <f>B1+D6</f>
        <v>4790</v>
      </c>
      <c r="E26" cm="1">
        <f t="array" ref="E26">INDEX(C:C,MATCH(MIN(ABS(C:C-D26)),ABS(C:C-D26),0))</f>
        <v>4790</v>
      </c>
      <c r="F26">
        <f t="shared" si="1"/>
        <v>1</v>
      </c>
      <c r="G26">
        <f t="shared" si="3"/>
        <v>115</v>
      </c>
      <c r="H26">
        <v>1</v>
      </c>
      <c r="I26">
        <v>4</v>
      </c>
      <c r="J26">
        <v>3</v>
      </c>
      <c r="K26">
        <v>2</v>
      </c>
      <c r="L26" cm="1">
        <f t="array" ref="L26:O26">_xlfn.SORTBY($R$4:$U$4,H26:K26)</f>
        <v>0</v>
      </c>
      <c r="M26">
        <v>1</v>
      </c>
      <c r="N26">
        <v>0</v>
      </c>
      <c r="O26">
        <v>0</v>
      </c>
      <c r="P26" t="str">
        <f t="shared" si="5"/>
        <v>4790 0 1 0 0</v>
      </c>
      <c r="V26" t="s">
        <v>26</v>
      </c>
    </row>
    <row r="27" spans="3:22">
      <c r="C27">
        <v>775</v>
      </c>
      <c r="D27">
        <f>B$1+D7</f>
        <v>5021</v>
      </c>
      <c r="E27" cm="1">
        <f t="array" ref="E27">INDEX(C:C,MATCH(MIN(ABS(C:C-D27)),ABS(C:C-D27),0))</f>
        <v>5021</v>
      </c>
      <c r="F27">
        <f t="shared" si="1"/>
        <v>1</v>
      </c>
      <c r="G27">
        <f t="shared" si="3"/>
        <v>231</v>
      </c>
      <c r="H27">
        <v>3</v>
      </c>
      <c r="I27">
        <v>4</v>
      </c>
      <c r="J27">
        <v>1</v>
      </c>
      <c r="K27">
        <v>2</v>
      </c>
      <c r="L27" cm="1">
        <f t="array" ref="L27:O27">_xlfn.SORTBY($R$4:$U$4,H27:K27)</f>
        <v>0</v>
      </c>
      <c r="M27">
        <v>1</v>
      </c>
      <c r="N27">
        <v>0</v>
      </c>
      <c r="O27">
        <v>0</v>
      </c>
      <c r="P27" t="str">
        <f t="shared" si="5"/>
        <v>5021 0 1 0 0</v>
      </c>
      <c r="V27" t="s">
        <v>27</v>
      </c>
    </row>
    <row r="28" spans="3:22">
      <c r="C28">
        <v>798</v>
      </c>
      <c r="D28">
        <f t="shared" ref="D28:D40" si="6">B$1+D8</f>
        <v>5136</v>
      </c>
      <c r="E28" cm="1">
        <f t="array" ref="E28">INDEX(C:C,MATCH(MIN(ABS(C:C-D28)),ABS(C:C-D28),0))</f>
        <v>5137</v>
      </c>
      <c r="F28">
        <f t="shared" si="1"/>
        <v>1</v>
      </c>
      <c r="G28">
        <f t="shared" si="3"/>
        <v>116</v>
      </c>
      <c r="H28">
        <v>2</v>
      </c>
      <c r="I28">
        <v>1</v>
      </c>
      <c r="J28">
        <v>4</v>
      </c>
      <c r="K28">
        <v>3</v>
      </c>
      <c r="L28" cm="1">
        <f t="array" ref="L28:O28">_xlfn.SORTBY($R$4:$U$4,H28:K28)</f>
        <v>0</v>
      </c>
      <c r="M28">
        <v>0</v>
      </c>
      <c r="N28">
        <v>1</v>
      </c>
      <c r="O28">
        <v>0</v>
      </c>
      <c r="P28" t="str">
        <f t="shared" si="5"/>
        <v>5137 0 0 1 0</v>
      </c>
      <c r="V28" t="s">
        <v>28</v>
      </c>
    </row>
    <row r="29" spans="3:22">
      <c r="C29">
        <v>821</v>
      </c>
      <c r="D29">
        <f t="shared" si="6"/>
        <v>5367</v>
      </c>
      <c r="E29" cm="1">
        <f t="array" ref="E29">INDEX(C:C,MATCH(MIN(ABS(C:C-D29)),ABS(C:C-D29),0))</f>
        <v>5367</v>
      </c>
      <c r="F29">
        <f t="shared" ref="F29:F60" si="7">ROUNDDOWN((ROW(F29)-1)/20,0)</f>
        <v>1</v>
      </c>
      <c r="G29">
        <f t="shared" si="3"/>
        <v>230</v>
      </c>
      <c r="H29">
        <v>3</v>
      </c>
      <c r="I29">
        <v>2</v>
      </c>
      <c r="J29">
        <v>4</v>
      </c>
      <c r="K29">
        <v>1</v>
      </c>
      <c r="L29" cm="1">
        <f t="array" ref="L29:O29">_xlfn.SORTBY($R$4:$U$4,H29:K29)</f>
        <v>1</v>
      </c>
      <c r="M29">
        <v>0</v>
      </c>
      <c r="N29">
        <v>0</v>
      </c>
      <c r="O29">
        <v>0</v>
      </c>
      <c r="P29" t="str">
        <f t="shared" si="5"/>
        <v>5367 1 0 0 0</v>
      </c>
      <c r="V29" t="s">
        <v>29</v>
      </c>
    </row>
    <row r="30" spans="3:22">
      <c r="C30">
        <v>844</v>
      </c>
      <c r="D30">
        <f t="shared" si="6"/>
        <v>5482</v>
      </c>
      <c r="E30" cm="1">
        <f t="array" ref="E30">INDEX(C:C,MATCH(MIN(ABS(C:C-D30)),ABS(C:C-D30),0))</f>
        <v>5483</v>
      </c>
      <c r="F30">
        <f t="shared" si="7"/>
        <v>1</v>
      </c>
      <c r="G30">
        <f t="shared" si="3"/>
        <v>116</v>
      </c>
      <c r="H30">
        <v>1</v>
      </c>
      <c r="I30">
        <v>3</v>
      </c>
      <c r="J30">
        <v>2</v>
      </c>
      <c r="K30">
        <v>4</v>
      </c>
      <c r="L30" cm="1">
        <f t="array" ref="L30:O30">_xlfn.SORTBY($R$4:$U$4,H30:K30)</f>
        <v>0</v>
      </c>
      <c r="M30">
        <v>0</v>
      </c>
      <c r="N30">
        <v>0</v>
      </c>
      <c r="O30">
        <v>1</v>
      </c>
      <c r="P30" t="str">
        <f t="shared" si="5"/>
        <v>5483 0 0 0 1</v>
      </c>
      <c r="V30" t="s">
        <v>30</v>
      </c>
    </row>
    <row r="31" spans="3:22">
      <c r="C31">
        <v>867</v>
      </c>
      <c r="D31">
        <f t="shared" si="6"/>
        <v>5713</v>
      </c>
      <c r="E31" cm="1">
        <f t="array" ref="E31">INDEX(C:C,MATCH(MIN(ABS(C:C-D31)),ABS(C:C-D31),0))</f>
        <v>5713</v>
      </c>
      <c r="F31">
        <f t="shared" si="7"/>
        <v>1</v>
      </c>
      <c r="G31">
        <f t="shared" si="3"/>
        <v>230</v>
      </c>
      <c r="H31">
        <v>1</v>
      </c>
      <c r="I31">
        <v>2</v>
      </c>
      <c r="J31">
        <v>3</v>
      </c>
      <c r="K31">
        <v>4</v>
      </c>
      <c r="L31" cm="1">
        <f t="array" ref="L31:O31">_xlfn.SORTBY($R$3:$U$3,H31:K31)</f>
        <v>0</v>
      </c>
      <c r="M31">
        <v>0</v>
      </c>
      <c r="N31">
        <v>1</v>
      </c>
      <c r="O31">
        <v>1</v>
      </c>
      <c r="P31" t="str">
        <f t="shared" si="5"/>
        <v>5713 0 0 1 1</v>
      </c>
      <c r="V31" t="s">
        <v>31</v>
      </c>
    </row>
    <row r="32" spans="3:22">
      <c r="C32">
        <v>890</v>
      </c>
      <c r="D32">
        <f t="shared" si="6"/>
        <v>5944</v>
      </c>
      <c r="E32" cm="1">
        <f t="array" ref="E32">INDEX(C:C,MATCH(MIN(ABS(C:C-D32)),ABS(C:C-D32),0))</f>
        <v>5944</v>
      </c>
      <c r="F32">
        <f t="shared" si="7"/>
        <v>1</v>
      </c>
      <c r="G32">
        <f t="shared" si="3"/>
        <v>231</v>
      </c>
      <c r="H32">
        <v>4</v>
      </c>
      <c r="I32">
        <v>3</v>
      </c>
      <c r="J32">
        <v>2</v>
      </c>
      <c r="K32">
        <v>1</v>
      </c>
      <c r="L32" cm="1">
        <f t="array" ref="L32:O32">_xlfn.SORTBY($R$4:$U$4,H32:K32)</f>
        <v>1</v>
      </c>
      <c r="M32">
        <v>0</v>
      </c>
      <c r="N32">
        <v>0</v>
      </c>
      <c r="O32">
        <v>0</v>
      </c>
      <c r="P32" t="str">
        <f t="shared" si="5"/>
        <v>5944 1 0 0 0</v>
      </c>
      <c r="V32" t="s">
        <v>32</v>
      </c>
    </row>
    <row r="33" spans="3:22">
      <c r="C33">
        <v>913</v>
      </c>
      <c r="D33">
        <f t="shared" si="6"/>
        <v>6175</v>
      </c>
      <c r="E33" cm="1">
        <f t="array" ref="E33">INDEX(C:C,MATCH(MIN(ABS(C:C-D33)),ABS(C:C-D33),0))</f>
        <v>6175</v>
      </c>
      <c r="F33">
        <f t="shared" si="7"/>
        <v>1</v>
      </c>
      <c r="G33">
        <f t="shared" si="3"/>
        <v>231</v>
      </c>
      <c r="H33">
        <v>1</v>
      </c>
      <c r="I33">
        <v>3</v>
      </c>
      <c r="J33">
        <v>2</v>
      </c>
      <c r="K33">
        <v>4</v>
      </c>
      <c r="L33" cm="1">
        <f t="array" ref="L33:O33">_xlfn.SORTBY($R$4:$U$4,H33:K33)</f>
        <v>0</v>
      </c>
      <c r="M33">
        <v>0</v>
      </c>
      <c r="N33">
        <v>0</v>
      </c>
      <c r="O33">
        <v>1</v>
      </c>
      <c r="P33" t="str">
        <f t="shared" si="5"/>
        <v>6175 0 0 0 1</v>
      </c>
      <c r="V33" t="s">
        <v>33</v>
      </c>
    </row>
    <row r="34" spans="3:22">
      <c r="C34">
        <v>937</v>
      </c>
      <c r="D34">
        <f t="shared" si="6"/>
        <v>6290</v>
      </c>
      <c r="E34" cm="1">
        <f t="array" ref="E34">INDEX(C:C,MATCH(MIN(ABS(C:C-D34)),ABS(C:C-D34),0))</f>
        <v>6290</v>
      </c>
      <c r="F34">
        <f t="shared" si="7"/>
        <v>1</v>
      </c>
      <c r="G34">
        <f t="shared" si="3"/>
        <v>115</v>
      </c>
      <c r="H34">
        <v>4</v>
      </c>
      <c r="I34">
        <v>2</v>
      </c>
      <c r="J34">
        <v>3</v>
      </c>
      <c r="K34">
        <v>1</v>
      </c>
      <c r="L34" cm="1">
        <f t="array" ref="L34:O34">_xlfn.SORTBY($R$4:$U$4,H34:K34)</f>
        <v>1</v>
      </c>
      <c r="M34">
        <v>0</v>
      </c>
      <c r="N34">
        <v>0</v>
      </c>
      <c r="O34">
        <v>0</v>
      </c>
      <c r="P34" t="str">
        <f t="shared" si="5"/>
        <v>6290 1 0 0 0</v>
      </c>
      <c r="V34" t="s">
        <v>34</v>
      </c>
    </row>
    <row r="35" spans="3:22">
      <c r="C35">
        <v>960</v>
      </c>
      <c r="D35">
        <f t="shared" si="6"/>
        <v>6521</v>
      </c>
      <c r="E35" cm="1">
        <f t="array" ref="E35">INDEX(C:C,MATCH(MIN(ABS(C:C-D35)),ABS(C:C-D35),0))</f>
        <v>6521</v>
      </c>
      <c r="F35">
        <f t="shared" si="7"/>
        <v>1</v>
      </c>
      <c r="G35">
        <f t="shared" ref="G35:G66" si="8">E35-E34</f>
        <v>231</v>
      </c>
      <c r="H35">
        <v>1</v>
      </c>
      <c r="I35">
        <v>4</v>
      </c>
      <c r="J35">
        <v>3</v>
      </c>
      <c r="K35">
        <v>2</v>
      </c>
      <c r="L35" cm="1">
        <f t="array" ref="L35:O35">_xlfn.SORTBY($R$4:$U$4,H35:K35)</f>
        <v>0</v>
      </c>
      <c r="M35">
        <v>1</v>
      </c>
      <c r="N35">
        <v>0</v>
      </c>
      <c r="O35">
        <v>0</v>
      </c>
      <c r="P35" t="str">
        <f t="shared" si="5"/>
        <v>6521 0 1 0 0</v>
      </c>
      <c r="V35" t="s">
        <v>35</v>
      </c>
    </row>
    <row r="36" spans="3:22">
      <c r="C36">
        <v>983</v>
      </c>
      <c r="D36">
        <f t="shared" si="6"/>
        <v>6636</v>
      </c>
      <c r="E36" cm="1">
        <f t="array" ref="E36">INDEX(C:C,MATCH(MIN(ABS(C:C-D36)),ABS(C:C-D36),0))</f>
        <v>6637</v>
      </c>
      <c r="F36">
        <f t="shared" si="7"/>
        <v>1</v>
      </c>
      <c r="G36">
        <f t="shared" si="8"/>
        <v>116</v>
      </c>
      <c r="H36">
        <v>2</v>
      </c>
      <c r="I36">
        <v>3</v>
      </c>
      <c r="J36">
        <v>4</v>
      </c>
      <c r="K36">
        <v>1</v>
      </c>
      <c r="L36" cm="1">
        <f t="array" ref="L36:O36">_xlfn.SORTBY($R$4:$U$4,H36:K36)</f>
        <v>1</v>
      </c>
      <c r="M36">
        <v>0</v>
      </c>
      <c r="N36">
        <v>0</v>
      </c>
      <c r="O36">
        <v>0</v>
      </c>
      <c r="P36" t="str">
        <f t="shared" si="5"/>
        <v>6637 1 0 0 0</v>
      </c>
      <c r="V36" t="s">
        <v>36</v>
      </c>
    </row>
    <row r="37" spans="3:22">
      <c r="C37">
        <v>1006</v>
      </c>
      <c r="D37">
        <f t="shared" si="6"/>
        <v>6867</v>
      </c>
      <c r="E37" cm="1">
        <f t="array" ref="E37">INDEX(C:C,MATCH(MIN(ABS(C:C-D37)),ABS(C:C-D37),0))</f>
        <v>6867</v>
      </c>
      <c r="F37">
        <f t="shared" si="7"/>
        <v>1</v>
      </c>
      <c r="G37">
        <f t="shared" si="8"/>
        <v>230</v>
      </c>
      <c r="H37">
        <v>2</v>
      </c>
      <c r="I37">
        <v>1</v>
      </c>
      <c r="J37">
        <v>4</v>
      </c>
      <c r="K37">
        <v>3</v>
      </c>
      <c r="L37" cm="1">
        <f t="array" ref="L37:O37">_xlfn.SORTBY($R$4:$U$4,H37:K37)</f>
        <v>0</v>
      </c>
      <c r="M37">
        <v>0</v>
      </c>
      <c r="N37">
        <v>1</v>
      </c>
      <c r="O37">
        <v>0</v>
      </c>
      <c r="P37" t="str">
        <f t="shared" si="5"/>
        <v>6867 0 0 1 0</v>
      </c>
      <c r="V37" t="s">
        <v>37</v>
      </c>
    </row>
    <row r="38" spans="3:22">
      <c r="C38">
        <v>1029</v>
      </c>
      <c r="D38">
        <f t="shared" si="6"/>
        <v>6982</v>
      </c>
      <c r="E38" cm="1">
        <f t="array" ref="E38">INDEX(C:C,MATCH(MIN(ABS(C:C-D38)),ABS(C:C-D38),0))</f>
        <v>6983</v>
      </c>
      <c r="F38">
        <f t="shared" si="7"/>
        <v>1</v>
      </c>
      <c r="G38">
        <f t="shared" si="8"/>
        <v>116</v>
      </c>
      <c r="H38">
        <v>3</v>
      </c>
      <c r="I38">
        <v>4</v>
      </c>
      <c r="J38">
        <v>1</v>
      </c>
      <c r="K38">
        <v>2</v>
      </c>
      <c r="L38" cm="1">
        <f t="array" ref="L38:O38">_xlfn.SORTBY($R$4:$U$4,H38:K38)</f>
        <v>0</v>
      </c>
      <c r="M38">
        <v>1</v>
      </c>
      <c r="N38">
        <v>0</v>
      </c>
      <c r="O38">
        <v>0</v>
      </c>
      <c r="P38" t="str">
        <f t="shared" si="5"/>
        <v>6983 0 1 0 0</v>
      </c>
      <c r="V38" t="s">
        <v>38</v>
      </c>
    </row>
    <row r="39" spans="3:22">
      <c r="C39">
        <v>1052</v>
      </c>
      <c r="D39">
        <f t="shared" si="6"/>
        <v>7213</v>
      </c>
      <c r="E39" cm="1">
        <f t="array" ref="E39">INDEX(C:C,MATCH(MIN(ABS(C:C-D39)),ABS(C:C-D39),0))</f>
        <v>7213</v>
      </c>
      <c r="F39">
        <f t="shared" si="7"/>
        <v>1</v>
      </c>
      <c r="G39">
        <f t="shared" si="8"/>
        <v>230</v>
      </c>
      <c r="H39">
        <v>1</v>
      </c>
      <c r="I39">
        <v>3</v>
      </c>
      <c r="J39">
        <v>2</v>
      </c>
      <c r="K39">
        <v>4</v>
      </c>
      <c r="L39" cm="1">
        <f t="array" ref="L39:O39">_xlfn.SORTBY($R$4:$U$4,H39:K39)</f>
        <v>0</v>
      </c>
      <c r="M39">
        <v>0</v>
      </c>
      <c r="N39">
        <v>0</v>
      </c>
      <c r="O39">
        <v>1</v>
      </c>
      <c r="P39" t="str">
        <f t="shared" si="5"/>
        <v>7213 0 0 0 1</v>
      </c>
      <c r="V39" t="s">
        <v>39</v>
      </c>
    </row>
    <row r="40" spans="3:22">
      <c r="C40">
        <v>1075</v>
      </c>
      <c r="D40">
        <f t="shared" si="6"/>
        <v>7329</v>
      </c>
      <c r="E40" cm="1">
        <f t="array" ref="E40">INDEX(C:C,MATCH(MIN(ABS(C:C-D40)),ABS(C:C-D40),0))</f>
        <v>7329</v>
      </c>
      <c r="F40">
        <f t="shared" si="7"/>
        <v>1</v>
      </c>
      <c r="G40">
        <f t="shared" si="8"/>
        <v>116</v>
      </c>
      <c r="H40">
        <v>3</v>
      </c>
      <c r="I40">
        <v>2</v>
      </c>
      <c r="J40">
        <v>4</v>
      </c>
      <c r="K40">
        <v>1</v>
      </c>
      <c r="L40" cm="1">
        <f t="array" ref="L40:O40">_xlfn.SORTBY($R$4:$U$4,H40:K40)</f>
        <v>1</v>
      </c>
      <c r="M40">
        <v>0</v>
      </c>
      <c r="N40">
        <v>0</v>
      </c>
      <c r="O40">
        <v>0</v>
      </c>
      <c r="P40" t="str">
        <f t="shared" si="5"/>
        <v>7329 1 0 0 0</v>
      </c>
      <c r="V40" t="s">
        <v>40</v>
      </c>
    </row>
    <row r="41" spans="3:22">
      <c r="C41">
        <v>1098</v>
      </c>
      <c r="D41">
        <v>7560</v>
      </c>
      <c r="E41" cm="1">
        <f t="array" ref="E41">INDEX(C:C,MATCH(MIN(ABS(C:C-D41)),ABS(C:C-D41),0))</f>
        <v>7560</v>
      </c>
      <c r="F41">
        <f t="shared" si="7"/>
        <v>2</v>
      </c>
      <c r="G41">
        <f t="shared" si="8"/>
        <v>231</v>
      </c>
      <c r="H41">
        <v>1</v>
      </c>
      <c r="I41">
        <v>2</v>
      </c>
      <c r="J41">
        <v>3</v>
      </c>
      <c r="K41">
        <v>4</v>
      </c>
      <c r="L41" cm="1">
        <f t="array" ref="L41:O41">_xlfn.SORTBY($R$3:$U$3,H41:K41)</f>
        <v>0</v>
      </c>
      <c r="M41">
        <v>0</v>
      </c>
      <c r="N41">
        <v>1</v>
      </c>
      <c r="O41">
        <v>1</v>
      </c>
      <c r="P41" t="str">
        <f t="shared" si="5"/>
        <v>7560 0 0 1 1</v>
      </c>
      <c r="V41" t="s">
        <v>41</v>
      </c>
    </row>
    <row r="42" spans="3:22">
      <c r="C42">
        <v>1121</v>
      </c>
      <c r="D42">
        <v>7790</v>
      </c>
      <c r="E42" cm="1">
        <f t="array" ref="E42">INDEX(C:C,MATCH(MIN(ABS(C:C-D42)),ABS(C:C-D42),0))</f>
        <v>7790</v>
      </c>
      <c r="F42">
        <f t="shared" si="7"/>
        <v>2</v>
      </c>
      <c r="G42">
        <f t="shared" si="8"/>
        <v>230</v>
      </c>
      <c r="H42">
        <v>4</v>
      </c>
      <c r="I42">
        <v>3</v>
      </c>
      <c r="J42">
        <v>2</v>
      </c>
      <c r="K42">
        <v>1</v>
      </c>
      <c r="L42" cm="1">
        <f t="array" ref="L42:O42">_xlfn.SORTBY($R$4:$U$4,H42:K42)</f>
        <v>1</v>
      </c>
      <c r="M42">
        <v>0</v>
      </c>
      <c r="N42">
        <v>0</v>
      </c>
      <c r="O42">
        <v>0</v>
      </c>
      <c r="P42" t="str">
        <f t="shared" si="5"/>
        <v>7790 1 0 0 0</v>
      </c>
      <c r="V42" t="s">
        <v>42</v>
      </c>
    </row>
    <row r="43" spans="3:22">
      <c r="C43">
        <v>1144</v>
      </c>
      <c r="D43">
        <v>8021</v>
      </c>
      <c r="E43" cm="1">
        <f t="array" ref="E43">INDEX(C:C,MATCH(MIN(ABS(C:C-D43)),ABS(C:C-D43),0))</f>
        <v>8021</v>
      </c>
      <c r="F43">
        <f t="shared" si="7"/>
        <v>2</v>
      </c>
      <c r="G43">
        <f t="shared" si="8"/>
        <v>231</v>
      </c>
      <c r="H43">
        <v>1</v>
      </c>
      <c r="I43">
        <v>3</v>
      </c>
      <c r="J43">
        <v>2</v>
      </c>
      <c r="K43">
        <v>4</v>
      </c>
      <c r="L43" cm="1">
        <f t="array" ref="L43:O43">_xlfn.SORTBY($R$4:$U$4,H43:K43)</f>
        <v>0</v>
      </c>
      <c r="M43">
        <v>0</v>
      </c>
      <c r="N43">
        <v>0</v>
      </c>
      <c r="O43">
        <v>1</v>
      </c>
      <c r="P43" t="str">
        <f t="shared" si="5"/>
        <v>8021 0 0 0 1</v>
      </c>
      <c r="V43" t="s">
        <v>43</v>
      </c>
    </row>
    <row r="44" spans="3:22">
      <c r="C44">
        <v>1167</v>
      </c>
      <c r="D44">
        <v>8137</v>
      </c>
      <c r="E44" cm="1">
        <f t="array" ref="E44">INDEX(C:C,MATCH(MIN(ABS(C:C-D44)),ABS(C:C-D44),0))</f>
        <v>8137</v>
      </c>
      <c r="F44">
        <f t="shared" si="7"/>
        <v>2</v>
      </c>
      <c r="G44">
        <f t="shared" si="8"/>
        <v>116</v>
      </c>
      <c r="H44">
        <v>4</v>
      </c>
      <c r="I44">
        <v>2</v>
      </c>
      <c r="J44">
        <v>3</v>
      </c>
      <c r="K44">
        <v>1</v>
      </c>
      <c r="L44" cm="1">
        <f t="array" ref="L44:O44">_xlfn.SORTBY($R$4:$U$4,H44:K44)</f>
        <v>1</v>
      </c>
      <c r="M44">
        <v>0</v>
      </c>
      <c r="N44">
        <v>0</v>
      </c>
      <c r="O44">
        <v>0</v>
      </c>
      <c r="P44" t="str">
        <f t="shared" si="5"/>
        <v>8137 1 0 0 0</v>
      </c>
      <c r="V44" t="s">
        <v>44</v>
      </c>
    </row>
    <row r="45" spans="3:22">
      <c r="C45">
        <v>1190</v>
      </c>
      <c r="D45">
        <v>8367</v>
      </c>
      <c r="E45" cm="1">
        <f t="array" ref="E45">INDEX(C:C,MATCH(MIN(ABS(C:C-D45)),ABS(C:C-D45),0))</f>
        <v>8367</v>
      </c>
      <c r="F45">
        <f t="shared" si="7"/>
        <v>2</v>
      </c>
      <c r="G45">
        <f t="shared" si="8"/>
        <v>230</v>
      </c>
      <c r="H45">
        <v>1</v>
      </c>
      <c r="I45">
        <v>4</v>
      </c>
      <c r="J45">
        <v>3</v>
      </c>
      <c r="K45">
        <v>2</v>
      </c>
      <c r="L45" cm="1">
        <f t="array" ref="L45:O45">_xlfn.SORTBY($R$4:$U$4,H45:K45)</f>
        <v>0</v>
      </c>
      <c r="M45">
        <v>1</v>
      </c>
      <c r="N45">
        <v>0</v>
      </c>
      <c r="O45">
        <v>0</v>
      </c>
      <c r="P45" t="str">
        <f t="shared" si="5"/>
        <v>8367 0 1 0 0</v>
      </c>
      <c r="V45" t="s">
        <v>45</v>
      </c>
    </row>
    <row r="46" spans="3:22">
      <c r="C46">
        <v>1213</v>
      </c>
      <c r="D46">
        <v>8483</v>
      </c>
      <c r="E46" cm="1">
        <f t="array" ref="E46">INDEX(C:C,MATCH(MIN(ABS(C:C-D46)),ABS(C:C-D46),0))</f>
        <v>8483</v>
      </c>
      <c r="F46">
        <f t="shared" si="7"/>
        <v>2</v>
      </c>
      <c r="G46">
        <f t="shared" si="8"/>
        <v>116</v>
      </c>
      <c r="H46">
        <v>2</v>
      </c>
      <c r="I46">
        <v>3</v>
      </c>
      <c r="J46">
        <v>4</v>
      </c>
      <c r="K46">
        <v>1</v>
      </c>
      <c r="L46" cm="1">
        <f t="array" ref="L46:O46">_xlfn.SORTBY($R$4:$U$4,H46:K46)</f>
        <v>1</v>
      </c>
      <c r="M46">
        <v>0</v>
      </c>
      <c r="N46">
        <v>0</v>
      </c>
      <c r="O46">
        <v>0</v>
      </c>
      <c r="P46" t="str">
        <f t="shared" si="5"/>
        <v>8483 1 0 0 0</v>
      </c>
      <c r="V46" t="s">
        <v>46</v>
      </c>
    </row>
    <row r="47" spans="3:22">
      <c r="C47">
        <v>1237</v>
      </c>
      <c r="D47">
        <f ca="1">B$2+OFFSET(D47,-40,0,1,1)</f>
        <v>8714</v>
      </c>
      <c r="E47" cm="1">
        <f ca="1" t="array" ref="E47">INDEX(C:C,MATCH(MIN(ABS(C:C-D47)),ABS(C:C-D47),0))</f>
        <v>8713</v>
      </c>
      <c r="F47">
        <f t="shared" si="7"/>
        <v>2</v>
      </c>
      <c r="G47">
        <f ca="1" t="shared" si="8"/>
        <v>230</v>
      </c>
      <c r="H47">
        <v>2</v>
      </c>
      <c r="I47">
        <v>1</v>
      </c>
      <c r="J47">
        <v>4</v>
      </c>
      <c r="K47">
        <v>3</v>
      </c>
      <c r="L47" cm="1">
        <f t="array" ref="L47:O47">_xlfn.SORTBY($R$4:$U$4,H47:K47)</f>
        <v>0</v>
      </c>
      <c r="M47">
        <v>0</v>
      </c>
      <c r="N47">
        <v>1</v>
      </c>
      <c r="O47">
        <v>0</v>
      </c>
      <c r="P47" t="str">
        <f ca="1" t="shared" si="5"/>
        <v>8713 0 0 1 0</v>
      </c>
      <c r="V47" t="s">
        <v>47</v>
      </c>
    </row>
    <row r="48" spans="3:22">
      <c r="C48">
        <v>1260</v>
      </c>
      <c r="D48">
        <f ca="1" t="shared" ref="D48:D60" si="9">B$2+OFFSET(D48,-40,0,1,1)</f>
        <v>8829</v>
      </c>
      <c r="E48" cm="1">
        <f ca="1" t="array" ref="E48">INDEX(C:C,MATCH(MIN(ABS(C:C-D48)),ABS(C:C-D48),0))</f>
        <v>8829</v>
      </c>
      <c r="F48">
        <f t="shared" si="7"/>
        <v>2</v>
      </c>
      <c r="G48">
        <f ca="1" t="shared" si="8"/>
        <v>116</v>
      </c>
      <c r="H48">
        <v>3</v>
      </c>
      <c r="I48">
        <v>4</v>
      </c>
      <c r="J48">
        <v>1</v>
      </c>
      <c r="K48">
        <v>2</v>
      </c>
      <c r="L48" cm="1">
        <f t="array" ref="L48:O48">_xlfn.SORTBY($R$4:$U$4,H48:K48)</f>
        <v>0</v>
      </c>
      <c r="M48">
        <v>1</v>
      </c>
      <c r="N48">
        <v>0</v>
      </c>
      <c r="O48">
        <v>0</v>
      </c>
      <c r="P48" t="str">
        <f ca="1" t="shared" si="5"/>
        <v>8829 0 1 0 0</v>
      </c>
      <c r="V48" t="s">
        <v>48</v>
      </c>
    </row>
    <row r="49" spans="3:22">
      <c r="C49">
        <v>1283</v>
      </c>
      <c r="D49">
        <f ca="1" t="shared" si="9"/>
        <v>9060</v>
      </c>
      <c r="E49" cm="1">
        <f ca="1" t="array" ref="E49">INDEX(C:C,MATCH(MIN(ABS(C:C-D49)),ABS(C:C-D49),0))</f>
        <v>9060</v>
      </c>
      <c r="F49">
        <f t="shared" si="7"/>
        <v>2</v>
      </c>
      <c r="G49">
        <f ca="1" t="shared" si="8"/>
        <v>231</v>
      </c>
      <c r="H49">
        <v>1</v>
      </c>
      <c r="I49">
        <v>3</v>
      </c>
      <c r="J49">
        <v>2</v>
      </c>
      <c r="K49">
        <v>4</v>
      </c>
      <c r="L49" cm="1">
        <f t="array" ref="L49:O49">_xlfn.SORTBY($R$4:$U$4,H49:K49)</f>
        <v>0</v>
      </c>
      <c r="M49">
        <v>0</v>
      </c>
      <c r="N49">
        <v>0</v>
      </c>
      <c r="O49">
        <v>1</v>
      </c>
      <c r="P49" t="str">
        <f ca="1" t="shared" si="5"/>
        <v>9060 0 0 0 1</v>
      </c>
      <c r="V49" t="s">
        <v>49</v>
      </c>
    </row>
    <row r="50" spans="3:22">
      <c r="C50">
        <v>1306</v>
      </c>
      <c r="D50">
        <f ca="1" t="shared" si="9"/>
        <v>9175</v>
      </c>
      <c r="E50" cm="1">
        <f ca="1" t="array" ref="E50">INDEX(C:C,MATCH(MIN(ABS(C:C-D50)),ABS(C:C-D50),0))</f>
        <v>9175</v>
      </c>
      <c r="F50">
        <f t="shared" si="7"/>
        <v>2</v>
      </c>
      <c r="G50">
        <f ca="1" t="shared" si="8"/>
        <v>115</v>
      </c>
      <c r="H50">
        <v>3</v>
      </c>
      <c r="I50">
        <v>2</v>
      </c>
      <c r="J50">
        <v>4</v>
      </c>
      <c r="K50">
        <v>1</v>
      </c>
      <c r="L50" cm="1">
        <f t="array" ref="L50:O50">_xlfn.SORTBY($R$4:$U$4,H50:K50)</f>
        <v>1</v>
      </c>
      <c r="M50">
        <v>0</v>
      </c>
      <c r="N50">
        <v>0</v>
      </c>
      <c r="O50">
        <v>0</v>
      </c>
      <c r="P50" t="str">
        <f ca="1" t="shared" si="5"/>
        <v>9175 1 0 0 0</v>
      </c>
      <c r="V50" t="s">
        <v>50</v>
      </c>
    </row>
    <row r="51" spans="3:22">
      <c r="C51">
        <v>1329</v>
      </c>
      <c r="D51">
        <f ca="1" t="shared" si="9"/>
        <v>9406</v>
      </c>
      <c r="E51" cm="1">
        <f ca="1" t="array" ref="E51">INDEX(C:C,MATCH(MIN(ABS(C:C-D51)),ABS(C:C-D51),0))</f>
        <v>9406</v>
      </c>
      <c r="F51">
        <f t="shared" si="7"/>
        <v>2</v>
      </c>
      <c r="G51">
        <f ca="1" t="shared" si="8"/>
        <v>231</v>
      </c>
      <c r="H51">
        <v>4</v>
      </c>
      <c r="I51">
        <v>3</v>
      </c>
      <c r="J51">
        <v>2</v>
      </c>
      <c r="K51">
        <v>1</v>
      </c>
      <c r="L51" cm="1">
        <f t="array" ref="L51:O51">_xlfn.SORTBY($R$3:$U$3,H51:K51)</f>
        <v>1</v>
      </c>
      <c r="M51">
        <v>1</v>
      </c>
      <c r="N51">
        <v>0</v>
      </c>
      <c r="O51">
        <v>0</v>
      </c>
      <c r="P51" t="str">
        <f ca="1" t="shared" si="5"/>
        <v>9406 1 1 0 0</v>
      </c>
      <c r="V51" t="s">
        <v>51</v>
      </c>
    </row>
    <row r="52" spans="3:22">
      <c r="C52">
        <v>1352</v>
      </c>
      <c r="D52">
        <f ca="1" t="shared" si="9"/>
        <v>9637</v>
      </c>
      <c r="E52" cm="1">
        <f ca="1" t="array" ref="E52">INDEX(C:C,MATCH(MIN(ABS(C:C-D52)),ABS(C:C-D52),0))</f>
        <v>9637</v>
      </c>
      <c r="F52">
        <f t="shared" si="7"/>
        <v>2</v>
      </c>
      <c r="G52">
        <f ca="1" t="shared" si="8"/>
        <v>231</v>
      </c>
      <c r="H52">
        <v>1</v>
      </c>
      <c r="I52">
        <v>2</v>
      </c>
      <c r="J52">
        <v>3</v>
      </c>
      <c r="K52">
        <v>4</v>
      </c>
      <c r="L52" cm="1">
        <f t="array" ref="L52:O52">_xlfn.SORTBY($R$4:$U$4,H52:K52)</f>
        <v>0</v>
      </c>
      <c r="M52">
        <v>0</v>
      </c>
      <c r="N52">
        <v>0</v>
      </c>
      <c r="O52">
        <v>1</v>
      </c>
      <c r="P52" t="str">
        <f ca="1" t="shared" si="5"/>
        <v>9637 0 0 0 1</v>
      </c>
      <c r="V52" t="s">
        <v>52</v>
      </c>
    </row>
    <row r="53" spans="3:22">
      <c r="C53">
        <v>1375</v>
      </c>
      <c r="D53">
        <f ca="1" t="shared" si="9"/>
        <v>9868</v>
      </c>
      <c r="E53" cm="1">
        <f ca="1" t="array" ref="E53">INDEX(C:C,MATCH(MIN(ABS(C:C-D53)),ABS(C:C-D53),0))</f>
        <v>9867</v>
      </c>
      <c r="F53">
        <f t="shared" si="7"/>
        <v>2</v>
      </c>
      <c r="G53">
        <f ca="1" t="shared" si="8"/>
        <v>230</v>
      </c>
      <c r="H53">
        <v>4</v>
      </c>
      <c r="I53">
        <v>2</v>
      </c>
      <c r="J53">
        <v>3</v>
      </c>
      <c r="K53">
        <v>1</v>
      </c>
      <c r="L53" cm="1">
        <f t="array" ref="L53:O53">_xlfn.SORTBY($R$4:$U$4,H53:K53)</f>
        <v>1</v>
      </c>
      <c r="M53">
        <v>0</v>
      </c>
      <c r="N53">
        <v>0</v>
      </c>
      <c r="O53">
        <v>0</v>
      </c>
      <c r="P53" t="str">
        <f ca="1" t="shared" ref="P53:P81" si="10">E53&amp;" "&amp;L53&amp;" "&amp;M53&amp;" "&amp;N53&amp;" "&amp;O53</f>
        <v>9867 1 0 0 0</v>
      </c>
      <c r="V53" t="s">
        <v>53</v>
      </c>
    </row>
    <row r="54" spans="3:22">
      <c r="C54">
        <v>1398</v>
      </c>
      <c r="D54">
        <f ca="1" t="shared" si="9"/>
        <v>9983</v>
      </c>
      <c r="E54" cm="1">
        <f ca="1" t="array" ref="E54">INDEX(C:C,MATCH(MIN(ABS(C:C-D54)),ABS(C:C-D54),0))</f>
        <v>9983</v>
      </c>
      <c r="F54">
        <f t="shared" si="7"/>
        <v>2</v>
      </c>
      <c r="G54">
        <f ca="1" t="shared" si="8"/>
        <v>116</v>
      </c>
      <c r="H54">
        <v>1</v>
      </c>
      <c r="I54">
        <v>3</v>
      </c>
      <c r="J54">
        <v>2</v>
      </c>
      <c r="K54">
        <v>4</v>
      </c>
      <c r="L54" cm="1">
        <f t="array" ref="L54:O54">_xlfn.SORTBY($R$4:$U$4,H54:K54)</f>
        <v>0</v>
      </c>
      <c r="M54">
        <v>0</v>
      </c>
      <c r="N54">
        <v>0</v>
      </c>
      <c r="O54">
        <v>1</v>
      </c>
      <c r="P54" t="str">
        <f ca="1" t="shared" si="10"/>
        <v>9983 0 0 0 1</v>
      </c>
      <c r="V54" t="s">
        <v>54</v>
      </c>
    </row>
    <row r="55" spans="3:22">
      <c r="C55">
        <v>1421</v>
      </c>
      <c r="D55">
        <f ca="1" t="shared" si="9"/>
        <v>10214</v>
      </c>
      <c r="E55" cm="1">
        <f ca="1" t="array" ref="E55">INDEX(C:C,MATCH(MIN(ABS(C:C-D55)),ABS(C:C-D55),0))</f>
        <v>10213</v>
      </c>
      <c r="F55">
        <f t="shared" si="7"/>
        <v>2</v>
      </c>
      <c r="G55">
        <f ca="1" t="shared" si="8"/>
        <v>230</v>
      </c>
      <c r="H55">
        <v>2</v>
      </c>
      <c r="I55">
        <v>3</v>
      </c>
      <c r="J55">
        <v>4</v>
      </c>
      <c r="K55">
        <v>1</v>
      </c>
      <c r="L55" cm="1">
        <f t="array" ref="L55:O55">_xlfn.SORTBY($R$4:$U$4,H55:K55)</f>
        <v>1</v>
      </c>
      <c r="M55">
        <v>0</v>
      </c>
      <c r="N55">
        <v>0</v>
      </c>
      <c r="O55">
        <v>0</v>
      </c>
      <c r="P55" t="str">
        <f ca="1" t="shared" si="10"/>
        <v>10213 1 0 0 0</v>
      </c>
      <c r="V55" t="s">
        <v>55</v>
      </c>
    </row>
    <row r="56" spans="3:22">
      <c r="C56">
        <v>1444</v>
      </c>
      <c r="D56">
        <f ca="1" t="shared" si="9"/>
        <v>10329</v>
      </c>
      <c r="E56" cm="1">
        <f ca="1" t="array" ref="E56">INDEX(C:C,MATCH(MIN(ABS(C:C-D56)),ABS(C:C-D56),0))</f>
        <v>10329</v>
      </c>
      <c r="F56">
        <f t="shared" si="7"/>
        <v>2</v>
      </c>
      <c r="G56">
        <f ca="1" t="shared" si="8"/>
        <v>116</v>
      </c>
      <c r="H56">
        <v>1</v>
      </c>
      <c r="I56">
        <v>4</v>
      </c>
      <c r="J56">
        <v>3</v>
      </c>
      <c r="K56">
        <v>2</v>
      </c>
      <c r="L56" cm="1">
        <f t="array" ref="L56:O56">_xlfn.SORTBY($R$4:$U$4,H56:K56)</f>
        <v>0</v>
      </c>
      <c r="M56">
        <v>1</v>
      </c>
      <c r="N56">
        <v>0</v>
      </c>
      <c r="O56">
        <v>0</v>
      </c>
      <c r="P56" t="str">
        <f ca="1" t="shared" si="10"/>
        <v>10329 0 1 0 0</v>
      </c>
      <c r="V56" t="s">
        <v>56</v>
      </c>
    </row>
    <row r="57" spans="3:22">
      <c r="C57">
        <v>1467</v>
      </c>
      <c r="D57">
        <f ca="1" t="shared" si="9"/>
        <v>10560</v>
      </c>
      <c r="E57" cm="1">
        <f ca="1" t="array" ref="E57">INDEX(C:C,MATCH(MIN(ABS(C:C-D57)),ABS(C:C-D57),0))</f>
        <v>10560</v>
      </c>
      <c r="F57">
        <f t="shared" si="7"/>
        <v>2</v>
      </c>
      <c r="G57">
        <f ca="1" t="shared" si="8"/>
        <v>231</v>
      </c>
      <c r="H57">
        <v>3</v>
      </c>
      <c r="I57">
        <v>4</v>
      </c>
      <c r="J57">
        <v>1</v>
      </c>
      <c r="K57">
        <v>2</v>
      </c>
      <c r="L57" cm="1">
        <f t="array" ref="L57:O57">_xlfn.SORTBY($R$4:$U$4,H57:K57)</f>
        <v>0</v>
      </c>
      <c r="M57">
        <v>1</v>
      </c>
      <c r="N57">
        <v>0</v>
      </c>
      <c r="O57">
        <v>0</v>
      </c>
      <c r="P57" t="str">
        <f ca="1" t="shared" si="10"/>
        <v>10560 0 1 0 0</v>
      </c>
      <c r="V57" t="s">
        <v>57</v>
      </c>
    </row>
    <row r="58" spans="3:22">
      <c r="C58">
        <v>1490</v>
      </c>
      <c r="D58">
        <f ca="1" t="shared" si="9"/>
        <v>10675</v>
      </c>
      <c r="E58" cm="1">
        <f ca="1" t="array" ref="E58">INDEX(C:C,MATCH(MIN(ABS(C:C-D58)),ABS(C:C-D58),0))</f>
        <v>10675</v>
      </c>
      <c r="F58">
        <f t="shared" si="7"/>
        <v>2</v>
      </c>
      <c r="G58">
        <f ca="1" t="shared" si="8"/>
        <v>115</v>
      </c>
      <c r="H58">
        <v>2</v>
      </c>
      <c r="I58">
        <v>1</v>
      </c>
      <c r="J58">
        <v>4</v>
      </c>
      <c r="K58">
        <v>3</v>
      </c>
      <c r="L58" cm="1">
        <f t="array" ref="L58:O58">_xlfn.SORTBY($R$4:$U$4,H58:K58)</f>
        <v>0</v>
      </c>
      <c r="M58">
        <v>0</v>
      </c>
      <c r="N58">
        <v>1</v>
      </c>
      <c r="O58">
        <v>0</v>
      </c>
      <c r="P58" t="str">
        <f ca="1" t="shared" si="10"/>
        <v>10675 0 0 1 0</v>
      </c>
      <c r="V58" t="s">
        <v>58</v>
      </c>
    </row>
    <row r="59" spans="3:22">
      <c r="C59">
        <v>1513</v>
      </c>
      <c r="D59">
        <f ca="1" t="shared" si="9"/>
        <v>10906</v>
      </c>
      <c r="E59" cm="1">
        <f ca="1" t="array" ref="E59">INDEX(C:C,MATCH(MIN(ABS(C:C-D59)),ABS(C:C-D59),0))</f>
        <v>10906</v>
      </c>
      <c r="F59">
        <f t="shared" si="7"/>
        <v>2</v>
      </c>
      <c r="G59">
        <f ca="1" t="shared" si="8"/>
        <v>231</v>
      </c>
      <c r="H59">
        <v>3</v>
      </c>
      <c r="I59">
        <v>2</v>
      </c>
      <c r="J59">
        <v>4</v>
      </c>
      <c r="K59">
        <v>1</v>
      </c>
      <c r="L59" cm="1">
        <f t="array" ref="L59:O59">_xlfn.SORTBY($R$4:$U$4,H59:K59)</f>
        <v>1</v>
      </c>
      <c r="M59">
        <v>0</v>
      </c>
      <c r="N59">
        <v>0</v>
      </c>
      <c r="O59">
        <v>0</v>
      </c>
      <c r="P59" t="str">
        <f ca="1" t="shared" si="10"/>
        <v>10906 1 0 0 0</v>
      </c>
      <c r="V59" t="s">
        <v>59</v>
      </c>
    </row>
    <row r="60" spans="3:22">
      <c r="C60">
        <v>1537</v>
      </c>
      <c r="D60">
        <v>11021</v>
      </c>
      <c r="E60" cm="1">
        <f t="array" ref="E60">INDEX(C:C,MATCH(MIN(ABS(C:C-D60)),ABS(C:C-D60),0))</f>
        <v>11021</v>
      </c>
      <c r="F60">
        <f t="shared" si="7"/>
        <v>2</v>
      </c>
      <c r="G60">
        <f ca="1" t="shared" si="8"/>
        <v>115</v>
      </c>
      <c r="H60">
        <v>1</v>
      </c>
      <c r="I60">
        <v>3</v>
      </c>
      <c r="J60">
        <v>2</v>
      </c>
      <c r="K60">
        <v>4</v>
      </c>
      <c r="L60" cm="1">
        <f t="array" ref="L60:O60">_xlfn.SORTBY($R$4:$U$4,H60:K60)</f>
        <v>0</v>
      </c>
      <c r="M60">
        <v>0</v>
      </c>
      <c r="N60">
        <v>0</v>
      </c>
      <c r="O60">
        <v>1</v>
      </c>
      <c r="P60" t="str">
        <f t="shared" si="10"/>
        <v>11021 0 0 0 1</v>
      </c>
      <c r="V60" t="s">
        <v>60</v>
      </c>
    </row>
    <row r="61" spans="3:22">
      <c r="C61">
        <v>1560</v>
      </c>
      <c r="D61">
        <v>11252</v>
      </c>
      <c r="E61" cm="1">
        <f t="array" ref="E61">INDEX(C:C,MATCH(MIN(ABS(C:C-D61)),ABS(C:C-D61),0))</f>
        <v>11252</v>
      </c>
      <c r="F61">
        <f t="shared" ref="F61:F92" si="11">ROUNDDOWN((ROW(F61)-1)/20,0)</f>
        <v>3</v>
      </c>
      <c r="G61">
        <f t="shared" si="8"/>
        <v>231</v>
      </c>
      <c r="H61">
        <v>4</v>
      </c>
      <c r="I61">
        <v>3</v>
      </c>
      <c r="J61">
        <v>2</v>
      </c>
      <c r="K61">
        <v>1</v>
      </c>
      <c r="L61" cm="1">
        <f t="array" ref="L61:O61">_xlfn.SORTBY($R$3:$U$3,H61:K61)</f>
        <v>1</v>
      </c>
      <c r="M61">
        <v>1</v>
      </c>
      <c r="N61">
        <v>0</v>
      </c>
      <c r="O61">
        <v>0</v>
      </c>
      <c r="P61" t="str">
        <f t="shared" si="10"/>
        <v>11252 1 1 0 0</v>
      </c>
      <c r="V61" t="s">
        <v>61</v>
      </c>
    </row>
    <row r="62" spans="3:22">
      <c r="C62">
        <v>1583</v>
      </c>
      <c r="D62">
        <f ca="1">B$1+OFFSET(D62,-20,0,1,1)</f>
        <v>11482</v>
      </c>
      <c r="E62" cm="1">
        <f ca="1" t="array" ref="E62">INDEX(C:C,MATCH(MIN(ABS(C:C-D62)),ABS(C:C-D62),0))</f>
        <v>11483</v>
      </c>
      <c r="F62">
        <f t="shared" si="11"/>
        <v>3</v>
      </c>
      <c r="G62">
        <f ca="1" t="shared" si="8"/>
        <v>231</v>
      </c>
      <c r="H62">
        <v>1</v>
      </c>
      <c r="I62">
        <v>2</v>
      </c>
      <c r="J62">
        <v>3</v>
      </c>
      <c r="K62">
        <v>4</v>
      </c>
      <c r="L62" cm="1">
        <f t="array" ref="L62:O62">_xlfn.SORTBY($R$4:$U$4,H62:K62)</f>
        <v>0</v>
      </c>
      <c r="M62">
        <v>0</v>
      </c>
      <c r="N62">
        <v>0</v>
      </c>
      <c r="O62">
        <v>1</v>
      </c>
      <c r="P62" t="str">
        <f ca="1" t="shared" si="10"/>
        <v>11483 0 0 0 1</v>
      </c>
      <c r="V62" t="s">
        <v>62</v>
      </c>
    </row>
    <row r="63" spans="3:22">
      <c r="C63">
        <v>1606</v>
      </c>
      <c r="D63">
        <f ca="1" t="shared" ref="D63:D81" si="12">B$1+OFFSET(D63,-20,0,1,1)</f>
        <v>11713</v>
      </c>
      <c r="E63" cm="1">
        <f ca="1" t="array" ref="E63">INDEX(C:C,MATCH(MIN(ABS(C:C-D63)),ABS(C:C-D63),0))</f>
        <v>11713</v>
      </c>
      <c r="F63">
        <f t="shared" si="11"/>
        <v>3</v>
      </c>
      <c r="G63">
        <f ca="1" t="shared" si="8"/>
        <v>230</v>
      </c>
      <c r="H63">
        <v>4</v>
      </c>
      <c r="I63">
        <v>2</v>
      </c>
      <c r="J63">
        <v>3</v>
      </c>
      <c r="K63">
        <v>1</v>
      </c>
      <c r="L63" cm="1">
        <f t="array" ref="L63:O63">_xlfn.SORTBY($R$4:$U$4,H63:K63)</f>
        <v>1</v>
      </c>
      <c r="M63">
        <v>0</v>
      </c>
      <c r="N63">
        <v>0</v>
      </c>
      <c r="O63">
        <v>0</v>
      </c>
      <c r="P63" t="str">
        <f ca="1" t="shared" si="10"/>
        <v>11713 1 0 0 0</v>
      </c>
      <c r="V63" t="s">
        <v>63</v>
      </c>
    </row>
    <row r="64" spans="3:22">
      <c r="C64">
        <v>1629</v>
      </c>
      <c r="D64">
        <f ca="1" t="shared" si="12"/>
        <v>11829</v>
      </c>
      <c r="E64" cm="1">
        <f ca="1" t="array" ref="E64">INDEX(C:C,MATCH(MIN(ABS(C:C-D64)),ABS(C:C-D64),0))</f>
        <v>11829</v>
      </c>
      <c r="F64">
        <f t="shared" si="11"/>
        <v>3</v>
      </c>
      <c r="G64">
        <f ca="1" t="shared" si="8"/>
        <v>116</v>
      </c>
      <c r="H64">
        <v>1</v>
      </c>
      <c r="I64">
        <v>3</v>
      </c>
      <c r="J64">
        <v>2</v>
      </c>
      <c r="K64">
        <v>4</v>
      </c>
      <c r="L64" cm="1">
        <f t="array" ref="L64:O64">_xlfn.SORTBY($R$4:$U$4,H64:K64)</f>
        <v>0</v>
      </c>
      <c r="M64">
        <v>0</v>
      </c>
      <c r="N64">
        <v>0</v>
      </c>
      <c r="O64">
        <v>1</v>
      </c>
      <c r="P64" t="str">
        <f ca="1" t="shared" si="10"/>
        <v>11829 0 0 0 1</v>
      </c>
      <c r="V64" t="s">
        <v>64</v>
      </c>
    </row>
    <row r="65" spans="3:22">
      <c r="C65">
        <v>1652</v>
      </c>
      <c r="D65">
        <f ca="1" t="shared" si="12"/>
        <v>12059</v>
      </c>
      <c r="E65" cm="1">
        <f ca="1" t="array" ref="E65">INDEX(C:C,MATCH(MIN(ABS(C:C-D65)),ABS(C:C-D65),0))</f>
        <v>12060</v>
      </c>
      <c r="F65">
        <f t="shared" si="11"/>
        <v>3</v>
      </c>
      <c r="G65">
        <f ca="1" t="shared" si="8"/>
        <v>231</v>
      </c>
      <c r="H65">
        <v>2</v>
      </c>
      <c r="I65">
        <v>3</v>
      </c>
      <c r="J65">
        <v>4</v>
      </c>
      <c r="K65">
        <v>1</v>
      </c>
      <c r="L65" cm="1">
        <f t="array" ref="L65:O65">_xlfn.SORTBY($R$4:$U$4,H65:K65)</f>
        <v>1</v>
      </c>
      <c r="M65">
        <v>0</v>
      </c>
      <c r="N65">
        <v>0</v>
      </c>
      <c r="O65">
        <v>0</v>
      </c>
      <c r="P65" t="str">
        <f ca="1" t="shared" si="10"/>
        <v>12060 1 0 0 0</v>
      </c>
      <c r="V65" t="s">
        <v>65</v>
      </c>
    </row>
    <row r="66" spans="3:22">
      <c r="C66">
        <v>1675</v>
      </c>
      <c r="D66">
        <f ca="1" t="shared" si="12"/>
        <v>12175</v>
      </c>
      <c r="E66" cm="1">
        <f ca="1" t="array" ref="E66">INDEX(C:C,MATCH(MIN(ABS(C:C-D66)),ABS(C:C-D66),0))</f>
        <v>12175</v>
      </c>
      <c r="F66">
        <f t="shared" si="11"/>
        <v>3</v>
      </c>
      <c r="G66">
        <f ca="1" t="shared" si="8"/>
        <v>115</v>
      </c>
      <c r="H66">
        <v>1</v>
      </c>
      <c r="I66">
        <v>4</v>
      </c>
      <c r="J66">
        <v>3</v>
      </c>
      <c r="K66">
        <v>2</v>
      </c>
      <c r="L66" cm="1">
        <f t="array" ref="L66:O66">_xlfn.SORTBY($R$4:$U$4,H66:K66)</f>
        <v>0</v>
      </c>
      <c r="M66">
        <v>1</v>
      </c>
      <c r="N66">
        <v>0</v>
      </c>
      <c r="O66">
        <v>0</v>
      </c>
      <c r="P66" t="str">
        <f ca="1" t="shared" si="10"/>
        <v>12175 0 1 0 0</v>
      </c>
      <c r="V66" t="s">
        <v>66</v>
      </c>
    </row>
    <row r="67" spans="3:22">
      <c r="C67">
        <v>1698</v>
      </c>
      <c r="D67">
        <f ca="1" t="shared" si="12"/>
        <v>12406</v>
      </c>
      <c r="E67" cm="1">
        <f ca="1" t="array" ref="E67">INDEX(C:C,MATCH(MIN(ABS(C:C-D67)),ABS(C:C-D67),0))</f>
        <v>12406</v>
      </c>
      <c r="F67">
        <f t="shared" si="11"/>
        <v>3</v>
      </c>
      <c r="G67">
        <f ca="1" t="shared" ref="G67:G98" si="13">E67-E66</f>
        <v>231</v>
      </c>
      <c r="H67">
        <v>3</v>
      </c>
      <c r="I67">
        <v>4</v>
      </c>
      <c r="J67">
        <v>1</v>
      </c>
      <c r="K67">
        <v>2</v>
      </c>
      <c r="L67" cm="1">
        <f t="array" ref="L67:O67">_xlfn.SORTBY($R$4:$U$4,H67:K67)</f>
        <v>0</v>
      </c>
      <c r="M67">
        <v>1</v>
      </c>
      <c r="N67">
        <v>0</v>
      </c>
      <c r="O67">
        <v>0</v>
      </c>
      <c r="P67" t="str">
        <f ca="1" t="shared" si="10"/>
        <v>12406 0 1 0 0</v>
      </c>
      <c r="V67" t="s">
        <v>67</v>
      </c>
    </row>
    <row r="68" spans="3:22">
      <c r="C68">
        <v>1721</v>
      </c>
      <c r="D68">
        <f ca="1" t="shared" si="12"/>
        <v>12521</v>
      </c>
      <c r="E68" cm="1">
        <f ca="1" t="array" ref="E68">INDEX(C:C,MATCH(MIN(ABS(C:C-D68)),ABS(C:C-D68),0))</f>
        <v>12521</v>
      </c>
      <c r="F68">
        <f t="shared" si="11"/>
        <v>3</v>
      </c>
      <c r="G68">
        <f ca="1" t="shared" si="13"/>
        <v>115</v>
      </c>
      <c r="H68">
        <v>2</v>
      </c>
      <c r="I68">
        <v>1</v>
      </c>
      <c r="J68">
        <v>4</v>
      </c>
      <c r="K68">
        <v>3</v>
      </c>
      <c r="L68" cm="1">
        <f t="array" ref="L68:O68">_xlfn.SORTBY($R$4:$U$4,H68:K68)</f>
        <v>0</v>
      </c>
      <c r="M68">
        <v>0</v>
      </c>
      <c r="N68">
        <v>1</v>
      </c>
      <c r="O68">
        <v>0</v>
      </c>
      <c r="P68" t="str">
        <f ca="1" t="shared" si="10"/>
        <v>12521 0 0 1 0</v>
      </c>
      <c r="V68" t="s">
        <v>68</v>
      </c>
    </row>
    <row r="69" spans="3:22">
      <c r="C69">
        <v>1744</v>
      </c>
      <c r="D69">
        <f ca="1" t="shared" si="12"/>
        <v>12752</v>
      </c>
      <c r="E69" cm="1">
        <f ca="1" t="array" ref="E69">INDEX(C:C,MATCH(MIN(ABS(C:C-D69)),ABS(C:C-D69),0))</f>
        <v>12752</v>
      </c>
      <c r="F69">
        <f t="shared" si="11"/>
        <v>3</v>
      </c>
      <c r="G69">
        <f ca="1" t="shared" si="13"/>
        <v>231</v>
      </c>
      <c r="H69">
        <v>3</v>
      </c>
      <c r="I69">
        <v>2</v>
      </c>
      <c r="J69">
        <v>4</v>
      </c>
      <c r="K69">
        <v>1</v>
      </c>
      <c r="L69" cm="1">
        <f t="array" ref="L69:O69">_xlfn.SORTBY($R$4:$U$4,H69:K69)</f>
        <v>1</v>
      </c>
      <c r="M69">
        <v>0</v>
      </c>
      <c r="N69">
        <v>0</v>
      </c>
      <c r="O69">
        <v>0</v>
      </c>
      <c r="P69" t="str">
        <f ca="1" t="shared" si="10"/>
        <v>12752 1 0 0 0</v>
      </c>
      <c r="V69" t="s">
        <v>69</v>
      </c>
    </row>
    <row r="70" spans="3:22">
      <c r="C70">
        <v>1767</v>
      </c>
      <c r="D70">
        <f ca="1" t="shared" si="12"/>
        <v>12867</v>
      </c>
      <c r="E70" cm="1">
        <f ca="1" t="array" ref="E70">INDEX(C:C,MATCH(MIN(ABS(C:C-D70)),ABS(C:C-D70),0))</f>
        <v>12867</v>
      </c>
      <c r="F70">
        <f t="shared" si="11"/>
        <v>3</v>
      </c>
      <c r="G70">
        <f ca="1" t="shared" si="13"/>
        <v>115</v>
      </c>
      <c r="H70">
        <v>1</v>
      </c>
      <c r="I70">
        <v>3</v>
      </c>
      <c r="J70">
        <v>2</v>
      </c>
      <c r="K70">
        <v>4</v>
      </c>
      <c r="L70" cm="1">
        <f t="array" ref="L70:O70">_xlfn.SORTBY($R$4:$U$4,H70:K70)</f>
        <v>0</v>
      </c>
      <c r="M70">
        <v>0</v>
      </c>
      <c r="N70">
        <v>0</v>
      </c>
      <c r="O70">
        <v>1</v>
      </c>
      <c r="P70" t="str">
        <f ca="1" t="shared" si="10"/>
        <v>12867 0 0 0 1</v>
      </c>
      <c r="V70" t="s">
        <v>70</v>
      </c>
    </row>
    <row r="71" spans="3:22">
      <c r="C71">
        <v>1790</v>
      </c>
      <c r="D71">
        <f ca="1" t="shared" si="12"/>
        <v>13098</v>
      </c>
      <c r="E71" cm="1">
        <f ca="1" t="array" ref="E71">INDEX(C:C,MATCH(MIN(ABS(C:C-D71)),ABS(C:C-D71),0))</f>
        <v>13098</v>
      </c>
      <c r="F71">
        <f t="shared" si="11"/>
        <v>3</v>
      </c>
      <c r="G71">
        <f ca="1" t="shared" si="13"/>
        <v>231</v>
      </c>
      <c r="H71">
        <v>1</v>
      </c>
      <c r="I71">
        <v>2</v>
      </c>
      <c r="J71">
        <v>3</v>
      </c>
      <c r="K71">
        <v>4</v>
      </c>
      <c r="L71" cm="1">
        <f t="array" ref="L71:O71">_xlfn.SORTBY($R$3:$U$3,H71:K71)</f>
        <v>0</v>
      </c>
      <c r="M71">
        <v>0</v>
      </c>
      <c r="N71">
        <v>1</v>
      </c>
      <c r="O71">
        <v>1</v>
      </c>
      <c r="P71" t="str">
        <f ca="1" t="shared" si="10"/>
        <v>13098 0 0 1 1</v>
      </c>
      <c r="V71" t="s">
        <v>71</v>
      </c>
    </row>
    <row r="72" spans="3:22">
      <c r="C72">
        <v>1813</v>
      </c>
      <c r="D72">
        <f ca="1" t="shared" si="12"/>
        <v>13329</v>
      </c>
      <c r="E72" cm="1">
        <f ca="1" t="array" ref="E72">INDEX(C:C,MATCH(MIN(ABS(C:C-D72)),ABS(C:C-D72),0))</f>
        <v>13329</v>
      </c>
      <c r="F72">
        <f t="shared" si="11"/>
        <v>3</v>
      </c>
      <c r="G72">
        <f ca="1" t="shared" si="13"/>
        <v>231</v>
      </c>
      <c r="H72">
        <v>4</v>
      </c>
      <c r="I72">
        <v>3</v>
      </c>
      <c r="J72">
        <v>2</v>
      </c>
      <c r="K72">
        <v>1</v>
      </c>
      <c r="L72" cm="1">
        <f t="array" ref="L72:O72">_xlfn.SORTBY($R$4:$U$4,H72:K72)</f>
        <v>1</v>
      </c>
      <c r="M72">
        <v>0</v>
      </c>
      <c r="N72">
        <v>0</v>
      </c>
      <c r="O72">
        <v>0</v>
      </c>
      <c r="P72" t="str">
        <f ca="1" t="shared" si="10"/>
        <v>13329 1 0 0 0</v>
      </c>
      <c r="V72" t="s">
        <v>72</v>
      </c>
    </row>
    <row r="73" spans="3:22">
      <c r="C73">
        <v>1837</v>
      </c>
      <c r="D73">
        <f ca="1" t="shared" si="12"/>
        <v>13560</v>
      </c>
      <c r="E73" cm="1">
        <f ca="1" t="array" ref="E73">INDEX(C:C,MATCH(MIN(ABS(C:C-D73)),ABS(C:C-D73),0))</f>
        <v>13560</v>
      </c>
      <c r="F73">
        <f t="shared" si="11"/>
        <v>3</v>
      </c>
      <c r="G73">
        <f ca="1" t="shared" si="13"/>
        <v>231</v>
      </c>
      <c r="H73">
        <v>1</v>
      </c>
      <c r="I73">
        <v>3</v>
      </c>
      <c r="J73">
        <v>2</v>
      </c>
      <c r="K73">
        <v>4</v>
      </c>
      <c r="L73" cm="1">
        <f t="array" ref="L73:O73">_xlfn.SORTBY($R$4:$U$4,H73:K73)</f>
        <v>0</v>
      </c>
      <c r="M73">
        <v>0</v>
      </c>
      <c r="N73">
        <v>0</v>
      </c>
      <c r="O73">
        <v>1</v>
      </c>
      <c r="P73" t="str">
        <f ca="1" t="shared" si="10"/>
        <v>13560 0 0 0 1</v>
      </c>
      <c r="V73" t="s">
        <v>73</v>
      </c>
    </row>
    <row r="74" spans="3:22">
      <c r="C74">
        <v>1860</v>
      </c>
      <c r="D74">
        <f ca="1" t="shared" si="12"/>
        <v>13675</v>
      </c>
      <c r="E74" cm="1">
        <f ca="1" t="array" ref="E74">INDEX(C:C,MATCH(MIN(ABS(C:C-D74)),ABS(C:C-D74),0))</f>
        <v>13675</v>
      </c>
      <c r="F74">
        <f t="shared" si="11"/>
        <v>3</v>
      </c>
      <c r="G74">
        <f ca="1" t="shared" si="13"/>
        <v>115</v>
      </c>
      <c r="H74">
        <v>4</v>
      </c>
      <c r="I74">
        <v>2</v>
      </c>
      <c r="J74">
        <v>3</v>
      </c>
      <c r="K74">
        <v>1</v>
      </c>
      <c r="L74" cm="1">
        <f t="array" ref="L74:O74">_xlfn.SORTBY($R$4:$U$4,H74:K74)</f>
        <v>1</v>
      </c>
      <c r="M74">
        <v>0</v>
      </c>
      <c r="N74">
        <v>0</v>
      </c>
      <c r="O74">
        <v>0</v>
      </c>
      <c r="P74" t="str">
        <f ca="1" t="shared" si="10"/>
        <v>13675 1 0 0 0</v>
      </c>
      <c r="V74" t="s">
        <v>74</v>
      </c>
    </row>
    <row r="75" spans="3:22">
      <c r="C75">
        <v>1883</v>
      </c>
      <c r="D75">
        <f ca="1" t="shared" si="12"/>
        <v>13906</v>
      </c>
      <c r="E75" cm="1">
        <f ca="1" t="array" ref="E75">INDEX(C:C,MATCH(MIN(ABS(C:C-D75)),ABS(C:C-D75),0))</f>
        <v>13906</v>
      </c>
      <c r="F75">
        <f t="shared" si="11"/>
        <v>3</v>
      </c>
      <c r="G75">
        <f ca="1" t="shared" si="13"/>
        <v>231</v>
      </c>
      <c r="H75">
        <v>1</v>
      </c>
      <c r="I75">
        <v>4</v>
      </c>
      <c r="J75">
        <v>3</v>
      </c>
      <c r="K75">
        <v>2</v>
      </c>
      <c r="L75" cm="1">
        <f t="array" ref="L75:O75">_xlfn.SORTBY($R$4:$U$4,H75:K75)</f>
        <v>0</v>
      </c>
      <c r="M75">
        <v>1</v>
      </c>
      <c r="N75">
        <v>0</v>
      </c>
      <c r="O75">
        <v>0</v>
      </c>
      <c r="P75" t="str">
        <f ca="1" t="shared" si="10"/>
        <v>13906 0 1 0 0</v>
      </c>
      <c r="V75" t="s">
        <v>75</v>
      </c>
    </row>
    <row r="76" spans="3:22">
      <c r="C76">
        <v>1906</v>
      </c>
      <c r="D76">
        <f ca="1" t="shared" si="12"/>
        <v>14021</v>
      </c>
      <c r="E76" cm="1">
        <f ca="1" t="array" ref="E76">INDEX(C:C,MATCH(MIN(ABS(C:C-D76)),ABS(C:C-D76),0))</f>
        <v>14021</v>
      </c>
      <c r="F76">
        <f t="shared" si="11"/>
        <v>3</v>
      </c>
      <c r="G76">
        <f ca="1" t="shared" si="13"/>
        <v>115</v>
      </c>
      <c r="H76">
        <v>2</v>
      </c>
      <c r="I76">
        <v>3</v>
      </c>
      <c r="J76">
        <v>4</v>
      </c>
      <c r="K76">
        <v>1</v>
      </c>
      <c r="L76" cm="1">
        <f t="array" ref="L76:O76">_xlfn.SORTBY($R$4:$U$4,H76:K76)</f>
        <v>1</v>
      </c>
      <c r="M76">
        <v>0</v>
      </c>
      <c r="N76">
        <v>0</v>
      </c>
      <c r="O76">
        <v>0</v>
      </c>
      <c r="P76" t="str">
        <f ca="1" t="shared" si="10"/>
        <v>14021 1 0 0 0</v>
      </c>
      <c r="V76" t="s">
        <v>76</v>
      </c>
    </row>
    <row r="77" spans="3:22">
      <c r="C77">
        <v>1929</v>
      </c>
      <c r="D77">
        <f ca="1" t="shared" si="12"/>
        <v>14252</v>
      </c>
      <c r="E77" cm="1">
        <f ca="1" t="array" ref="E77">INDEX(C:C,MATCH(MIN(ABS(C:C-D77)),ABS(C:C-D77),0))</f>
        <v>14252</v>
      </c>
      <c r="F77">
        <f t="shared" si="11"/>
        <v>3</v>
      </c>
      <c r="G77">
        <f ca="1" t="shared" si="13"/>
        <v>231</v>
      </c>
      <c r="H77">
        <v>2</v>
      </c>
      <c r="I77">
        <v>1</v>
      </c>
      <c r="J77">
        <v>4</v>
      </c>
      <c r="K77">
        <v>3</v>
      </c>
      <c r="L77" cm="1">
        <f t="array" ref="L77:O77">_xlfn.SORTBY($R$4:$U$4,H77:K77)</f>
        <v>0</v>
      </c>
      <c r="M77">
        <v>0</v>
      </c>
      <c r="N77">
        <v>1</v>
      </c>
      <c r="O77">
        <v>0</v>
      </c>
      <c r="P77" t="str">
        <f ca="1" t="shared" si="10"/>
        <v>14252 0 0 1 0</v>
      </c>
      <c r="V77" t="s">
        <v>77</v>
      </c>
    </row>
    <row r="78" spans="3:22">
      <c r="C78">
        <v>1952</v>
      </c>
      <c r="D78">
        <f ca="1" t="shared" si="12"/>
        <v>14367</v>
      </c>
      <c r="E78" cm="1">
        <f ca="1" t="array" ref="E78">INDEX(C:C,MATCH(MIN(ABS(C:C-D78)),ABS(C:C-D78),0))</f>
        <v>14367</v>
      </c>
      <c r="F78">
        <f t="shared" si="11"/>
        <v>3</v>
      </c>
      <c r="G78">
        <f ca="1" t="shared" si="13"/>
        <v>115</v>
      </c>
      <c r="H78">
        <v>3</v>
      </c>
      <c r="I78">
        <v>4</v>
      </c>
      <c r="J78">
        <v>1</v>
      </c>
      <c r="K78">
        <v>2</v>
      </c>
      <c r="L78" cm="1">
        <f t="array" ref="L78:O78">_xlfn.SORTBY($R$4:$U$4,H78:K78)</f>
        <v>0</v>
      </c>
      <c r="M78">
        <v>1</v>
      </c>
      <c r="N78">
        <v>0</v>
      </c>
      <c r="O78">
        <v>0</v>
      </c>
      <c r="P78" t="str">
        <f ca="1" t="shared" si="10"/>
        <v>14367 0 1 0 0</v>
      </c>
      <c r="V78" t="s">
        <v>78</v>
      </c>
    </row>
    <row r="79" spans="3:22">
      <c r="C79">
        <v>1975</v>
      </c>
      <c r="D79">
        <f ca="1" t="shared" si="12"/>
        <v>14598</v>
      </c>
      <c r="E79" cm="1">
        <f ca="1" t="array" ref="E79">INDEX(C:C,MATCH(MIN(ABS(C:C-D79)),ABS(C:C-D79),0))</f>
        <v>14598</v>
      </c>
      <c r="F79">
        <f t="shared" si="11"/>
        <v>3</v>
      </c>
      <c r="G79">
        <f ca="1" t="shared" si="13"/>
        <v>231</v>
      </c>
      <c r="H79">
        <v>1</v>
      </c>
      <c r="I79">
        <v>3</v>
      </c>
      <c r="J79">
        <v>2</v>
      </c>
      <c r="K79">
        <v>4</v>
      </c>
      <c r="L79" cm="1">
        <f t="array" ref="L79:O79">_xlfn.SORTBY($R$4:$U$4,H79:K79)</f>
        <v>0</v>
      </c>
      <c r="M79">
        <v>0</v>
      </c>
      <c r="N79">
        <v>0</v>
      </c>
      <c r="O79">
        <v>1</v>
      </c>
      <c r="P79" t="str">
        <f ca="1" t="shared" si="10"/>
        <v>14598 0 0 0 1</v>
      </c>
      <c r="V79" t="s">
        <v>79</v>
      </c>
    </row>
    <row r="80" spans="3:22">
      <c r="C80">
        <v>1998</v>
      </c>
      <c r="D80">
        <f ca="1" t="shared" si="12"/>
        <v>14713</v>
      </c>
      <c r="E80" cm="1">
        <f ca="1" t="array" ref="E80">INDEX(C:C,MATCH(MIN(ABS(C:C-D80)),ABS(C:C-D80),0))</f>
        <v>14713</v>
      </c>
      <c r="F80">
        <f t="shared" si="11"/>
        <v>3</v>
      </c>
      <c r="G80">
        <f ca="1" t="shared" si="13"/>
        <v>115</v>
      </c>
      <c r="H80">
        <v>3</v>
      </c>
      <c r="I80">
        <v>2</v>
      </c>
      <c r="J80">
        <v>4</v>
      </c>
      <c r="K80">
        <v>1</v>
      </c>
      <c r="L80" cm="1">
        <f t="array" ref="L80:O80">_xlfn.SORTBY($R$4:$U$4,H80:K80)</f>
        <v>1</v>
      </c>
      <c r="M80">
        <v>0</v>
      </c>
      <c r="N80">
        <v>0</v>
      </c>
      <c r="O80">
        <v>0</v>
      </c>
      <c r="P80" t="str">
        <f ca="1" t="shared" si="10"/>
        <v>14713 1 0 0 0</v>
      </c>
      <c r="V80" t="s">
        <v>80</v>
      </c>
    </row>
    <row r="81" spans="1:22">
      <c r="A81" t="s">
        <v>81</v>
      </c>
      <c r="C81">
        <v>2021</v>
      </c>
      <c r="D81">
        <f ca="1" t="shared" si="12"/>
        <v>14944</v>
      </c>
      <c r="E81" cm="1">
        <f ca="1" t="array" ref="E81">INDEX(C:C,MATCH(MIN(ABS(C:C-D81)),ABS(C:C-D81),0))</f>
        <v>14944</v>
      </c>
      <c r="F81">
        <f t="shared" si="11"/>
        <v>4</v>
      </c>
      <c r="G81">
        <f ca="1" t="shared" si="13"/>
        <v>231</v>
      </c>
      <c r="H81">
        <f ca="1" t="shared" ref="H81:K81" si="14">RAND()</f>
        <v>0.0398019267084841</v>
      </c>
      <c r="I81">
        <f ca="1" t="shared" si="14"/>
        <v>0.372640225946313</v>
      </c>
      <c r="J81">
        <f ca="1" t="shared" si="14"/>
        <v>0.958883262288427</v>
      </c>
      <c r="K81">
        <f ca="1" t="shared" si="14"/>
        <v>0.612983875524411</v>
      </c>
      <c r="L81" cm="1">
        <f ca="1" t="array" ref="L81:O81">_xlfn.SORTBY($R$4:$U$4,H81:K81)</f>
        <v>0</v>
      </c>
      <c r="M81">
        <v>0</v>
      </c>
      <c r="N81">
        <v>1</v>
      </c>
      <c r="O81">
        <v>0</v>
      </c>
      <c r="P81" t="str">
        <f ca="1" t="shared" si="10"/>
        <v>14944 0 0 1 0</v>
      </c>
      <c r="R81">
        <v>0</v>
      </c>
      <c r="S81">
        <v>1</v>
      </c>
      <c r="T81">
        <v>0</v>
      </c>
      <c r="U81">
        <v>0</v>
      </c>
      <c r="V81" t="str">
        <f ca="1">E81&amp;" "&amp;R81&amp;" "&amp;S81&amp;" "&amp;T81&amp;" "&amp;U81</f>
        <v>14944 0 1 0 0</v>
      </c>
    </row>
    <row r="82" spans="1:22">
      <c r="C82">
        <v>2044</v>
      </c>
      <c r="D82">
        <f ca="1" t="shared" ref="D82:D100" si="15">B$1+OFFSET(D82,-20,0,1,1)</f>
        <v>15174</v>
      </c>
      <c r="E82" cm="1">
        <f ca="1" t="array" ref="E82">INDEX(C:C,MATCH(MIN(ABS(C:C-D82)),ABS(C:C-D82),0))</f>
        <v>15175</v>
      </c>
      <c r="F82">
        <f t="shared" si="11"/>
        <v>4</v>
      </c>
      <c r="G82">
        <f ca="1" t="shared" si="13"/>
        <v>231</v>
      </c>
      <c r="H82">
        <f ca="1" t="shared" ref="H82:H160" si="16">RAND()</f>
        <v>0.18334414436466</v>
      </c>
      <c r="I82">
        <f ca="1" t="shared" ref="I82:I160" si="17">RAND()</f>
        <v>0.20638940759122</v>
      </c>
      <c r="J82">
        <f ca="1" t="shared" ref="J82:J160" si="18">RAND()</f>
        <v>0.943010376348299</v>
      </c>
      <c r="K82">
        <f ca="1" t="shared" ref="K82:K160" si="19">RAND()</f>
        <v>0.47332436579024</v>
      </c>
      <c r="L82" cm="1">
        <f ca="1" t="array" ref="L82:O82">_xlfn.SORTBY($R$4:$U$4,H82:K82)</f>
        <v>0</v>
      </c>
      <c r="M82">
        <v>0</v>
      </c>
      <c r="N82">
        <v>1</v>
      </c>
      <c r="O82">
        <v>0</v>
      </c>
      <c r="P82" t="str">
        <f ca="1" t="shared" ref="P81:P112" si="20">E82&amp;" "&amp;L82&amp;" "&amp;M82&amp;" "&amp;N82&amp;" "&amp;O82</f>
        <v>15175 0 0 1 0</v>
      </c>
      <c r="R82">
        <v>0</v>
      </c>
      <c r="S82">
        <v>1</v>
      </c>
      <c r="T82">
        <v>0</v>
      </c>
      <c r="U82">
        <v>0</v>
      </c>
      <c r="V82" t="str">
        <f ca="1" t="shared" ref="V82:V113" si="21">E82&amp;" "&amp;R82&amp;" "&amp;S82&amp;" "&amp;T82&amp;" "&amp;U82</f>
        <v>15175 0 1 0 0</v>
      </c>
    </row>
    <row r="83" spans="1:22">
      <c r="C83">
        <v>2067</v>
      </c>
      <c r="D83">
        <f ca="1" t="shared" si="15"/>
        <v>15405</v>
      </c>
      <c r="E83" cm="1">
        <f ca="1" t="array" ref="E83">INDEX(C:C,MATCH(MIN(ABS(C:C-D83)),ABS(C:C-D83),0))</f>
        <v>15406</v>
      </c>
      <c r="F83">
        <f t="shared" si="11"/>
        <v>4</v>
      </c>
      <c r="G83">
        <f ca="1" t="shared" si="13"/>
        <v>231</v>
      </c>
      <c r="H83">
        <f ca="1" t="shared" si="16"/>
        <v>0.588135796010564</v>
      </c>
      <c r="I83">
        <f ca="1" t="shared" si="17"/>
        <v>0.145576167912029</v>
      </c>
      <c r="J83">
        <f ca="1" t="shared" si="18"/>
        <v>0.0942443539019948</v>
      </c>
      <c r="K83">
        <f ca="1" t="shared" si="19"/>
        <v>0.116112679984818</v>
      </c>
      <c r="L83" cm="1">
        <f ca="1" t="array" ref="L83:O83">_xlfn.SORTBY($R$4:$U$4,H83:K83)</f>
        <v>0</v>
      </c>
      <c r="M83">
        <v>1</v>
      </c>
      <c r="N83">
        <v>0</v>
      </c>
      <c r="O83">
        <v>0</v>
      </c>
      <c r="P83" t="str">
        <f ca="1" t="shared" si="20"/>
        <v>15406 0 1 0 0</v>
      </c>
      <c r="R83">
        <v>0</v>
      </c>
      <c r="S83">
        <v>0</v>
      </c>
      <c r="T83">
        <v>1</v>
      </c>
      <c r="U83">
        <v>0</v>
      </c>
      <c r="V83" t="str">
        <f ca="1" t="shared" si="21"/>
        <v>15406 0 0 1 0</v>
      </c>
    </row>
    <row r="84" spans="1:22">
      <c r="C84">
        <v>2090</v>
      </c>
      <c r="D84">
        <f ca="1" t="shared" si="15"/>
        <v>15521</v>
      </c>
      <c r="E84" cm="1">
        <f ca="1" t="array" ref="E84">INDEX(C:C,MATCH(MIN(ABS(C:C-D84)),ABS(C:C-D84),0))</f>
        <v>15521</v>
      </c>
      <c r="F84">
        <f t="shared" si="11"/>
        <v>4</v>
      </c>
      <c r="G84">
        <f ca="1" t="shared" si="13"/>
        <v>115</v>
      </c>
      <c r="H84">
        <f ca="1" t="shared" si="16"/>
        <v>0.581794020050162</v>
      </c>
      <c r="I84">
        <f ca="1" t="shared" si="17"/>
        <v>0.822512176221434</v>
      </c>
      <c r="J84">
        <f ca="1" t="shared" si="18"/>
        <v>0.772290150676906</v>
      </c>
      <c r="K84">
        <f ca="1" t="shared" si="19"/>
        <v>0.833582182308431</v>
      </c>
      <c r="L84" cm="1">
        <f ca="1" t="array" ref="L84:O84">_xlfn.SORTBY($R$4:$U$4,H84:K84)</f>
        <v>0</v>
      </c>
      <c r="M84">
        <v>0</v>
      </c>
      <c r="N84">
        <v>0</v>
      </c>
      <c r="O84">
        <v>1</v>
      </c>
      <c r="P84" t="str">
        <f ca="1" t="shared" si="20"/>
        <v>15521 0 0 0 1</v>
      </c>
      <c r="R84">
        <v>0</v>
      </c>
      <c r="S84">
        <v>1</v>
      </c>
      <c r="T84">
        <v>0</v>
      </c>
      <c r="U84">
        <v>0</v>
      </c>
      <c r="V84" t="str">
        <f ca="1" t="shared" si="21"/>
        <v>15521 0 1 0 0</v>
      </c>
    </row>
    <row r="85" spans="1:22">
      <c r="C85">
        <v>2113</v>
      </c>
      <c r="D85">
        <f ca="1" t="shared" si="15"/>
        <v>15751</v>
      </c>
      <c r="E85" cm="1">
        <f ca="1" t="array" ref="E85">INDEX(C:C,MATCH(MIN(ABS(C:C-D85)),ABS(C:C-D85),0))</f>
        <v>15752</v>
      </c>
      <c r="F85">
        <f t="shared" si="11"/>
        <v>4</v>
      </c>
      <c r="G85">
        <f ca="1" t="shared" si="13"/>
        <v>231</v>
      </c>
      <c r="H85">
        <f ca="1" t="shared" si="16"/>
        <v>0.621583684905872</v>
      </c>
      <c r="I85">
        <f ca="1" t="shared" si="17"/>
        <v>0.964606287531272</v>
      </c>
      <c r="J85">
        <f ca="1" t="shared" si="18"/>
        <v>0.590310997708952</v>
      </c>
      <c r="K85">
        <f ca="1" t="shared" si="19"/>
        <v>0.312724801120197</v>
      </c>
      <c r="L85" cm="1">
        <f ca="1" t="array" ref="L85:O85">_xlfn.SORTBY($R$4:$U$4,H85:K85)</f>
        <v>1</v>
      </c>
      <c r="M85">
        <v>0</v>
      </c>
      <c r="N85">
        <v>0</v>
      </c>
      <c r="O85">
        <v>0</v>
      </c>
      <c r="P85" t="str">
        <f ca="1" t="shared" si="20"/>
        <v>15752 1 0 0 0</v>
      </c>
      <c r="R85">
        <v>0</v>
      </c>
      <c r="S85">
        <v>0</v>
      </c>
      <c r="T85">
        <v>1</v>
      </c>
      <c r="U85">
        <v>0</v>
      </c>
      <c r="V85" t="str">
        <f ca="1" t="shared" si="21"/>
        <v>15752 0 0 1 0</v>
      </c>
    </row>
    <row r="86" spans="1:22">
      <c r="C86">
        <v>2137</v>
      </c>
      <c r="D86">
        <f ca="1" t="shared" si="15"/>
        <v>15867</v>
      </c>
      <c r="E86" cm="1">
        <f ca="1" t="array" ref="E86">INDEX(C:C,MATCH(MIN(ABS(C:C-D86)),ABS(C:C-D86),0))</f>
        <v>15867</v>
      </c>
      <c r="F86">
        <f t="shared" si="11"/>
        <v>4</v>
      </c>
      <c r="G86">
        <f ca="1" t="shared" si="13"/>
        <v>115</v>
      </c>
      <c r="H86">
        <f ca="1" t="shared" si="16"/>
        <v>0.531278668627686</v>
      </c>
      <c r="I86">
        <f ca="1" t="shared" si="17"/>
        <v>0.934942307774681</v>
      </c>
      <c r="J86">
        <f ca="1" t="shared" si="18"/>
        <v>0.0254478801221036</v>
      </c>
      <c r="K86">
        <f ca="1" t="shared" si="19"/>
        <v>0.983972127753944</v>
      </c>
      <c r="L86" cm="1">
        <f ca="1" t="array" ref="L86:O86">_xlfn.SORTBY($R$4:$U$4,H86:K86)</f>
        <v>0</v>
      </c>
      <c r="M86">
        <v>0</v>
      </c>
      <c r="N86">
        <v>0</v>
      </c>
      <c r="O86">
        <v>1</v>
      </c>
      <c r="P86" t="str">
        <f ca="1" t="shared" si="20"/>
        <v>15867 0 0 0 1</v>
      </c>
      <c r="R86">
        <v>1</v>
      </c>
      <c r="S86">
        <v>0</v>
      </c>
      <c r="T86">
        <v>0</v>
      </c>
      <c r="U86">
        <v>0</v>
      </c>
      <c r="V86" t="str">
        <f ca="1" t="shared" si="21"/>
        <v>15867 1 0 0 0</v>
      </c>
    </row>
    <row r="87" spans="1:22">
      <c r="C87">
        <v>2160</v>
      </c>
      <c r="D87">
        <f ca="1" t="shared" si="15"/>
        <v>16098</v>
      </c>
      <c r="E87" cm="1">
        <f ca="1" t="array" ref="E87">INDEX(C:C,MATCH(MIN(ABS(C:C-D87)),ABS(C:C-D87),0))</f>
        <v>16098</v>
      </c>
      <c r="F87">
        <f t="shared" si="11"/>
        <v>4</v>
      </c>
      <c r="G87">
        <f ca="1" t="shared" si="13"/>
        <v>231</v>
      </c>
      <c r="H87">
        <f ca="1" t="shared" si="16"/>
        <v>0.789429992184118</v>
      </c>
      <c r="I87">
        <f ca="1" t="shared" si="17"/>
        <v>0.979203796637069</v>
      </c>
      <c r="J87">
        <f ca="1" t="shared" si="18"/>
        <v>0.164665270327134</v>
      </c>
      <c r="K87">
        <f ca="1" t="shared" si="19"/>
        <v>0.418667096105622</v>
      </c>
      <c r="L87" cm="1">
        <f ca="1" t="array" ref="L87:O87">_xlfn.SORTBY($R$4:$U$4,H87:K87)</f>
        <v>0</v>
      </c>
      <c r="M87">
        <v>1</v>
      </c>
      <c r="N87">
        <v>0</v>
      </c>
      <c r="O87">
        <v>0</v>
      </c>
      <c r="P87" t="str">
        <f ca="1" t="shared" si="20"/>
        <v>16098 0 1 0 0</v>
      </c>
      <c r="R87">
        <v>0</v>
      </c>
      <c r="S87">
        <v>0</v>
      </c>
      <c r="T87">
        <v>0</v>
      </c>
      <c r="U87">
        <v>1</v>
      </c>
      <c r="V87" t="str">
        <f ca="1" t="shared" si="21"/>
        <v>16098 0 0 0 1</v>
      </c>
    </row>
    <row r="88" spans="1:22">
      <c r="C88">
        <v>2183</v>
      </c>
      <c r="D88">
        <f ca="1" t="shared" si="15"/>
        <v>16213</v>
      </c>
      <c r="E88" cm="1">
        <f ca="1" t="array" ref="E88">INDEX(C:C,MATCH(MIN(ABS(C:C-D88)),ABS(C:C-D88),0))</f>
        <v>16213</v>
      </c>
      <c r="F88">
        <f t="shared" si="11"/>
        <v>4</v>
      </c>
      <c r="G88">
        <f ca="1" t="shared" si="13"/>
        <v>115</v>
      </c>
      <c r="H88">
        <f ca="1" t="shared" si="16"/>
        <v>0.120682737415699</v>
      </c>
      <c r="I88">
        <f ca="1" t="shared" si="17"/>
        <v>0.0709521257269512</v>
      </c>
      <c r="J88">
        <f ca="1" t="shared" si="18"/>
        <v>0.111312375842246</v>
      </c>
      <c r="K88">
        <f ca="1" t="shared" si="19"/>
        <v>0.850622719671275</v>
      </c>
      <c r="L88" cm="1">
        <f ca="1" t="array" ref="L88:O88">_xlfn.SORTBY($R$4:$U$4,H88:K88)</f>
        <v>0</v>
      </c>
      <c r="M88">
        <v>0</v>
      </c>
      <c r="N88">
        <v>0</v>
      </c>
      <c r="O88">
        <v>1</v>
      </c>
      <c r="P88" t="str">
        <f ca="1" t="shared" si="20"/>
        <v>16213 0 0 0 1</v>
      </c>
      <c r="R88">
        <v>0</v>
      </c>
      <c r="S88">
        <v>0</v>
      </c>
      <c r="T88">
        <v>1</v>
      </c>
      <c r="U88">
        <v>0</v>
      </c>
      <c r="V88" t="str">
        <f ca="1" t="shared" si="21"/>
        <v>16213 0 0 1 0</v>
      </c>
    </row>
    <row r="89" spans="1:22">
      <c r="C89">
        <v>2206</v>
      </c>
      <c r="D89">
        <f ca="1" t="shared" si="15"/>
        <v>16444</v>
      </c>
      <c r="E89" cm="1">
        <f ca="1" t="array" ref="E89">INDEX(C:C,MATCH(MIN(ABS(C:C-D89)),ABS(C:C-D89),0))</f>
        <v>16444</v>
      </c>
      <c r="F89">
        <f t="shared" si="11"/>
        <v>4</v>
      </c>
      <c r="G89">
        <f ca="1" t="shared" si="13"/>
        <v>231</v>
      </c>
      <c r="H89">
        <f ca="1" t="shared" si="16"/>
        <v>0.0960201629536339</v>
      </c>
      <c r="I89">
        <f ca="1" t="shared" si="17"/>
        <v>0.662859092113225</v>
      </c>
      <c r="J89">
        <f ca="1" t="shared" si="18"/>
        <v>0.203812237175571</v>
      </c>
      <c r="K89">
        <f ca="1" t="shared" si="19"/>
        <v>0.0855434056303959</v>
      </c>
      <c r="L89" cm="1">
        <f ca="1" t="array" ref="L89:O89">_xlfn.SORTBY($R$4:$U$4,H89:K89)</f>
        <v>1</v>
      </c>
      <c r="M89">
        <v>0</v>
      </c>
      <c r="N89">
        <v>0</v>
      </c>
      <c r="O89">
        <v>0</v>
      </c>
      <c r="P89" t="str">
        <f ca="1" t="shared" si="20"/>
        <v>16444 1 0 0 0</v>
      </c>
      <c r="R89">
        <v>0</v>
      </c>
      <c r="S89">
        <v>0</v>
      </c>
      <c r="T89">
        <v>1</v>
      </c>
      <c r="U89">
        <v>0</v>
      </c>
      <c r="V89" t="str">
        <f ca="1" t="shared" si="21"/>
        <v>16444 0 0 1 0</v>
      </c>
    </row>
    <row r="90" spans="1:22">
      <c r="C90">
        <v>2229</v>
      </c>
      <c r="D90">
        <f ca="1" t="shared" si="15"/>
        <v>16559</v>
      </c>
      <c r="E90" cm="1">
        <f ca="1" t="array" ref="E90">INDEX(C:C,MATCH(MIN(ABS(C:C-D90)),ABS(C:C-D90),0))</f>
        <v>16560</v>
      </c>
      <c r="F90">
        <f t="shared" si="11"/>
        <v>4</v>
      </c>
      <c r="G90">
        <f ca="1" t="shared" si="13"/>
        <v>116</v>
      </c>
      <c r="H90">
        <f ca="1" t="shared" si="16"/>
        <v>0.566280197690516</v>
      </c>
      <c r="I90">
        <f ca="1" t="shared" si="17"/>
        <v>0.970851327019283</v>
      </c>
      <c r="J90">
        <f ca="1" t="shared" si="18"/>
        <v>0.645221072007909</v>
      </c>
      <c r="K90">
        <f ca="1" t="shared" si="19"/>
        <v>0.159990892332645</v>
      </c>
      <c r="L90" cm="1">
        <f ca="1" t="array" ref="L90:O90">_xlfn.SORTBY($R$4:$U$4,H90:K90)</f>
        <v>1</v>
      </c>
      <c r="M90">
        <v>0</v>
      </c>
      <c r="N90">
        <v>0</v>
      </c>
      <c r="O90">
        <v>0</v>
      </c>
      <c r="P90" t="str">
        <f ca="1" t="shared" si="20"/>
        <v>16560 1 0 0 0</v>
      </c>
      <c r="R90">
        <v>1</v>
      </c>
      <c r="S90">
        <v>0</v>
      </c>
      <c r="T90">
        <v>0</v>
      </c>
      <c r="U90">
        <v>0</v>
      </c>
      <c r="V90" t="str">
        <f ca="1" t="shared" si="21"/>
        <v>16560 1 0 0 0</v>
      </c>
    </row>
    <row r="91" spans="1:22">
      <c r="C91">
        <v>2252</v>
      </c>
      <c r="D91">
        <f ca="1" t="shared" si="15"/>
        <v>16790</v>
      </c>
      <c r="E91" cm="1">
        <f ca="1" t="array" ref="E91">INDEX(C:C,MATCH(MIN(ABS(C:C-D91)),ABS(C:C-D91),0))</f>
        <v>16790</v>
      </c>
      <c r="F91">
        <f t="shared" si="11"/>
        <v>4</v>
      </c>
      <c r="G91">
        <f ca="1" t="shared" si="13"/>
        <v>230</v>
      </c>
      <c r="H91">
        <f ca="1" t="shared" si="16"/>
        <v>0.172947858291582</v>
      </c>
      <c r="I91">
        <f ca="1" t="shared" si="17"/>
        <v>0.814999819367977</v>
      </c>
      <c r="J91">
        <f ca="1" t="shared" si="18"/>
        <v>0.978873606598415</v>
      </c>
      <c r="K91">
        <f ca="1" t="shared" si="19"/>
        <v>0.295123045176175</v>
      </c>
      <c r="L91" cm="1">
        <f ca="1" t="array" ref="L91:O91">_xlfn.SORTBY($R$4:$U$4,H91:K91)</f>
        <v>0</v>
      </c>
      <c r="M91">
        <v>1</v>
      </c>
      <c r="N91">
        <v>0</v>
      </c>
      <c r="O91">
        <v>0</v>
      </c>
      <c r="P91" t="str">
        <f ca="1" t="shared" si="20"/>
        <v>16790 0 1 0 0</v>
      </c>
      <c r="R91">
        <v>1</v>
      </c>
      <c r="S91">
        <v>0</v>
      </c>
      <c r="T91">
        <v>0</v>
      </c>
      <c r="U91">
        <v>0</v>
      </c>
      <c r="V91" t="str">
        <f ca="1" t="shared" si="21"/>
        <v>16790 1 0 0 0</v>
      </c>
    </row>
    <row r="92" spans="1:22">
      <c r="C92">
        <v>2275</v>
      </c>
      <c r="D92">
        <f ca="1" t="shared" si="15"/>
        <v>17021</v>
      </c>
      <c r="E92" cm="1">
        <f ca="1" t="array" ref="E92">INDEX(C:C,MATCH(MIN(ABS(C:C-D92)),ABS(C:C-D92),0))</f>
        <v>17021</v>
      </c>
      <c r="F92">
        <f t="shared" si="11"/>
        <v>4</v>
      </c>
      <c r="G92">
        <f ca="1" t="shared" si="13"/>
        <v>231</v>
      </c>
      <c r="H92">
        <f ca="1" t="shared" si="16"/>
        <v>0.320316579692723</v>
      </c>
      <c r="I92">
        <f ca="1" t="shared" si="17"/>
        <v>0.556314353400117</v>
      </c>
      <c r="J92">
        <f ca="1" t="shared" si="18"/>
        <v>0.610717720247196</v>
      </c>
      <c r="K92">
        <f ca="1" t="shared" si="19"/>
        <v>0.822832032328134</v>
      </c>
      <c r="L92" cm="1">
        <f ca="1" t="array" ref="L92:O92">_xlfn.SORTBY($R$4:$U$4,H92:K92)</f>
        <v>0</v>
      </c>
      <c r="M92">
        <v>0</v>
      </c>
      <c r="N92">
        <v>0</v>
      </c>
      <c r="O92">
        <v>1</v>
      </c>
      <c r="P92" t="str">
        <f ca="1" t="shared" si="20"/>
        <v>17021 0 0 0 1</v>
      </c>
      <c r="R92">
        <v>0</v>
      </c>
      <c r="S92">
        <v>0</v>
      </c>
      <c r="T92">
        <v>1</v>
      </c>
      <c r="U92">
        <v>0</v>
      </c>
      <c r="V92" t="str">
        <f ca="1" t="shared" si="21"/>
        <v>17021 0 0 1 0</v>
      </c>
    </row>
    <row r="93" spans="1:22">
      <c r="C93">
        <v>2298</v>
      </c>
      <c r="D93">
        <f ca="1" t="shared" si="15"/>
        <v>17252</v>
      </c>
      <c r="E93" cm="1">
        <f ca="1" t="array" ref="E93">INDEX(C:C,MATCH(MIN(ABS(C:C-D93)),ABS(C:C-D93),0))</f>
        <v>17252</v>
      </c>
      <c r="F93">
        <f t="shared" ref="F93:F120" si="22">ROUNDDOWN((ROW(F93)-1)/20,0)</f>
        <v>4</v>
      </c>
      <c r="G93">
        <f ca="1" t="shared" si="13"/>
        <v>231</v>
      </c>
      <c r="H93">
        <f ca="1" t="shared" si="16"/>
        <v>0.955740344700092</v>
      </c>
      <c r="I93">
        <f ca="1" t="shared" si="17"/>
        <v>0.330996324866438</v>
      </c>
      <c r="J93">
        <f ca="1" t="shared" si="18"/>
        <v>0.9327849426828</v>
      </c>
      <c r="K93">
        <f ca="1" t="shared" si="19"/>
        <v>0.401602366159092</v>
      </c>
      <c r="L93" cm="1">
        <f ca="1" t="array" ref="L93:O93">_xlfn.SORTBY($R$4:$U$4,H93:K93)</f>
        <v>0</v>
      </c>
      <c r="M93">
        <v>1</v>
      </c>
      <c r="N93">
        <v>0</v>
      </c>
      <c r="O93">
        <v>0</v>
      </c>
      <c r="P93" t="str">
        <f ca="1" t="shared" si="20"/>
        <v>17252 0 1 0 0</v>
      </c>
      <c r="R93">
        <v>0</v>
      </c>
      <c r="S93">
        <v>1</v>
      </c>
      <c r="T93">
        <v>0</v>
      </c>
      <c r="U93">
        <v>0</v>
      </c>
      <c r="V93" t="str">
        <f ca="1" t="shared" si="21"/>
        <v>17252 0 1 0 0</v>
      </c>
    </row>
    <row r="94" spans="1:22">
      <c r="C94">
        <v>2321</v>
      </c>
      <c r="D94">
        <f ca="1" t="shared" si="15"/>
        <v>17367</v>
      </c>
      <c r="E94" cm="1">
        <f ca="1" t="array" ref="E94">INDEX(C:C,MATCH(MIN(ABS(C:C-D94)),ABS(C:C-D94),0))</f>
        <v>17367</v>
      </c>
      <c r="F94">
        <f t="shared" si="22"/>
        <v>4</v>
      </c>
      <c r="G94">
        <f ca="1" t="shared" si="13"/>
        <v>115</v>
      </c>
      <c r="H94">
        <f ca="1" t="shared" si="16"/>
        <v>0.629299987661542</v>
      </c>
      <c r="I94">
        <f ca="1" t="shared" si="17"/>
        <v>0.345183321868241</v>
      </c>
      <c r="J94">
        <f ca="1" t="shared" si="18"/>
        <v>0.648858728236968</v>
      </c>
      <c r="K94">
        <f ca="1" t="shared" si="19"/>
        <v>0.767673258157481</v>
      </c>
      <c r="L94" cm="1">
        <f ca="1" t="array" ref="L94:O94">_xlfn.SORTBY($R$4:$U$4,H94:K94)</f>
        <v>0</v>
      </c>
      <c r="M94">
        <v>0</v>
      </c>
      <c r="N94">
        <v>0</v>
      </c>
      <c r="O94">
        <v>1</v>
      </c>
      <c r="P94" t="str">
        <f ca="1" t="shared" si="20"/>
        <v>17367 0 0 0 1</v>
      </c>
      <c r="R94">
        <v>1</v>
      </c>
      <c r="S94">
        <v>0</v>
      </c>
      <c r="T94">
        <v>0</v>
      </c>
      <c r="U94">
        <v>0</v>
      </c>
      <c r="V94" t="str">
        <f ca="1" t="shared" si="21"/>
        <v>17367 1 0 0 0</v>
      </c>
    </row>
    <row r="95" spans="1:22">
      <c r="C95">
        <v>2344</v>
      </c>
      <c r="D95">
        <f ca="1" t="shared" si="15"/>
        <v>17598</v>
      </c>
      <c r="E95" cm="1">
        <f ca="1" t="array" ref="E95">INDEX(C:C,MATCH(MIN(ABS(C:C-D95)),ABS(C:C-D95),0))</f>
        <v>17598</v>
      </c>
      <c r="F95">
        <f t="shared" si="22"/>
        <v>4</v>
      </c>
      <c r="G95">
        <f ca="1" t="shared" si="13"/>
        <v>231</v>
      </c>
      <c r="H95">
        <f ca="1" t="shared" si="16"/>
        <v>0.362575576166691</v>
      </c>
      <c r="I95">
        <f ca="1" t="shared" si="17"/>
        <v>0.450678789620385</v>
      </c>
      <c r="J95">
        <f ca="1" t="shared" si="18"/>
        <v>0.404825335150795</v>
      </c>
      <c r="K95">
        <f ca="1" t="shared" si="19"/>
        <v>0.270321559870399</v>
      </c>
      <c r="L95" cm="1">
        <f ca="1" t="array" ref="L95:O95">_xlfn.SORTBY($R$4:$U$4,H95:K95)</f>
        <v>1</v>
      </c>
      <c r="M95">
        <v>0</v>
      </c>
      <c r="N95">
        <v>0</v>
      </c>
      <c r="O95">
        <v>0</v>
      </c>
      <c r="P95" t="str">
        <f ca="1" t="shared" si="20"/>
        <v>17598 1 0 0 0</v>
      </c>
      <c r="R95">
        <v>0</v>
      </c>
      <c r="S95">
        <v>0</v>
      </c>
      <c r="T95">
        <v>0</v>
      </c>
      <c r="U95">
        <v>1</v>
      </c>
      <c r="V95" t="str">
        <f ca="1" t="shared" si="21"/>
        <v>17598 0 0 0 1</v>
      </c>
    </row>
    <row r="96" spans="1:22">
      <c r="C96">
        <v>2367</v>
      </c>
      <c r="D96">
        <f ca="1" t="shared" si="15"/>
        <v>17713</v>
      </c>
      <c r="E96" cm="1">
        <f ca="1" t="array" ref="E96">INDEX(C:C,MATCH(MIN(ABS(C:C-D96)),ABS(C:C-D96),0))</f>
        <v>17713</v>
      </c>
      <c r="F96">
        <f t="shared" si="22"/>
        <v>4</v>
      </c>
      <c r="G96">
        <f ca="1" t="shared" si="13"/>
        <v>115</v>
      </c>
      <c r="H96">
        <f ca="1" t="shared" si="16"/>
        <v>0.560484377014415</v>
      </c>
      <c r="I96">
        <f ca="1" t="shared" si="17"/>
        <v>0.735881501943796</v>
      </c>
      <c r="J96">
        <f ca="1" t="shared" si="18"/>
        <v>0.500464761580536</v>
      </c>
      <c r="K96">
        <f ca="1" t="shared" si="19"/>
        <v>0.0840629442654262</v>
      </c>
      <c r="L96" cm="1">
        <f ca="1" t="array" ref="L96:O96">_xlfn.SORTBY($R$4:$U$4,H96:K96)</f>
        <v>1</v>
      </c>
      <c r="M96">
        <v>0</v>
      </c>
      <c r="N96">
        <v>0</v>
      </c>
      <c r="O96">
        <v>0</v>
      </c>
      <c r="P96" t="str">
        <f ca="1" t="shared" si="20"/>
        <v>17713 1 0 0 0</v>
      </c>
      <c r="R96">
        <v>0</v>
      </c>
      <c r="S96">
        <v>0</v>
      </c>
      <c r="T96">
        <v>0</v>
      </c>
      <c r="U96">
        <v>1</v>
      </c>
      <c r="V96" t="str">
        <f ca="1" t="shared" si="21"/>
        <v>17713 0 0 0 1</v>
      </c>
    </row>
    <row r="97" spans="3:22">
      <c r="C97">
        <v>2390</v>
      </c>
      <c r="D97">
        <f ca="1" t="shared" si="15"/>
        <v>17944</v>
      </c>
      <c r="E97" cm="1">
        <f ca="1" t="array" ref="E97">INDEX(C:C,MATCH(MIN(ABS(C:C-D97)),ABS(C:C-D97),0))</f>
        <v>17944</v>
      </c>
      <c r="F97">
        <f t="shared" si="22"/>
        <v>4</v>
      </c>
      <c r="G97">
        <f ca="1" t="shared" si="13"/>
        <v>231</v>
      </c>
      <c r="H97">
        <f ca="1" t="shared" si="16"/>
        <v>0.624725684480314</v>
      </c>
      <c r="I97">
        <f ca="1" t="shared" si="17"/>
        <v>0.199284467048038</v>
      </c>
      <c r="J97">
        <f ca="1" t="shared" si="18"/>
        <v>0.169309943693279</v>
      </c>
      <c r="K97">
        <f ca="1" t="shared" si="19"/>
        <v>0.955973208445671</v>
      </c>
      <c r="L97" cm="1">
        <f ca="1" t="array" ref="L97:O97">_xlfn.SORTBY($R$4:$U$4,H97:K97)</f>
        <v>0</v>
      </c>
      <c r="M97">
        <v>0</v>
      </c>
      <c r="N97">
        <v>0</v>
      </c>
      <c r="O97">
        <v>1</v>
      </c>
      <c r="P97" t="str">
        <f ca="1" t="shared" si="20"/>
        <v>17944 0 0 0 1</v>
      </c>
      <c r="R97">
        <v>1</v>
      </c>
      <c r="S97">
        <v>0</v>
      </c>
      <c r="T97">
        <v>0</v>
      </c>
      <c r="U97">
        <v>0</v>
      </c>
      <c r="V97" t="str">
        <f ca="1" t="shared" si="21"/>
        <v>17944 1 0 0 0</v>
      </c>
    </row>
    <row r="98" spans="3:22">
      <c r="C98">
        <v>2413</v>
      </c>
      <c r="D98">
        <f ca="1" t="shared" si="15"/>
        <v>18059</v>
      </c>
      <c r="E98" cm="1">
        <f ca="1" t="array" ref="E98">INDEX(C:C,MATCH(MIN(ABS(C:C-D98)),ABS(C:C-D98),0))</f>
        <v>18060</v>
      </c>
      <c r="F98">
        <f t="shared" si="22"/>
        <v>4</v>
      </c>
      <c r="G98">
        <f ca="1" t="shared" si="13"/>
        <v>116</v>
      </c>
      <c r="H98">
        <f ca="1" t="shared" si="16"/>
        <v>0.898415412537711</v>
      </c>
      <c r="I98">
        <f ca="1" t="shared" si="17"/>
        <v>0.951133879835228</v>
      </c>
      <c r="J98">
        <f ca="1" t="shared" si="18"/>
        <v>0.478557593583968</v>
      </c>
      <c r="K98">
        <f ca="1" t="shared" si="19"/>
        <v>0.829205230793786</v>
      </c>
      <c r="L98" cm="1">
        <f ca="1" t="array" ref="L98:O98">_xlfn.SORTBY($R$4:$U$4,H98:K98)</f>
        <v>0</v>
      </c>
      <c r="M98">
        <v>1</v>
      </c>
      <c r="N98">
        <v>0</v>
      </c>
      <c r="O98">
        <v>0</v>
      </c>
      <c r="P98" t="str">
        <f ca="1" t="shared" si="20"/>
        <v>18060 0 1 0 0</v>
      </c>
      <c r="R98">
        <v>0</v>
      </c>
      <c r="S98">
        <v>1</v>
      </c>
      <c r="T98">
        <v>0</v>
      </c>
      <c r="U98">
        <v>0</v>
      </c>
      <c r="V98" t="str">
        <f ca="1" t="shared" si="21"/>
        <v>18060 0 1 0 0</v>
      </c>
    </row>
    <row r="99" spans="3:22">
      <c r="C99">
        <v>2437</v>
      </c>
      <c r="D99">
        <f ca="1" t="shared" si="15"/>
        <v>18290</v>
      </c>
      <c r="E99" cm="1">
        <f ca="1" t="array" ref="E99">INDEX(C:C,MATCH(MIN(ABS(C:C-D99)),ABS(C:C-D99),0))</f>
        <v>18290</v>
      </c>
      <c r="F99">
        <f t="shared" si="22"/>
        <v>4</v>
      </c>
      <c r="G99">
        <f ca="1" t="shared" ref="G99:G130" si="23">E99-E98</f>
        <v>230</v>
      </c>
      <c r="H99">
        <f ca="1" t="shared" si="16"/>
        <v>0.941422850574777</v>
      </c>
      <c r="I99">
        <f ca="1" t="shared" si="17"/>
        <v>0.258789337933949</v>
      </c>
      <c r="J99">
        <f ca="1" t="shared" si="18"/>
        <v>0.609175824693008</v>
      </c>
      <c r="K99">
        <f ca="1" t="shared" si="19"/>
        <v>0.252675460635052</v>
      </c>
      <c r="L99" cm="1">
        <f ca="1" t="array" ref="L99:O99">_xlfn.SORTBY($R$4:$U$4,H99:K99)</f>
        <v>1</v>
      </c>
      <c r="M99">
        <v>0</v>
      </c>
      <c r="N99">
        <v>0</v>
      </c>
      <c r="O99">
        <v>0</v>
      </c>
      <c r="P99" t="str">
        <f ca="1" t="shared" si="20"/>
        <v>18290 1 0 0 0</v>
      </c>
      <c r="R99">
        <v>1</v>
      </c>
      <c r="S99">
        <v>0</v>
      </c>
      <c r="T99">
        <v>0</v>
      </c>
      <c r="U99">
        <v>0</v>
      </c>
      <c r="V99" t="str">
        <f ca="1" t="shared" si="21"/>
        <v>18290 1 0 0 0</v>
      </c>
    </row>
    <row r="100" spans="3:22">
      <c r="C100">
        <v>2460</v>
      </c>
      <c r="D100">
        <f ca="1" t="shared" ref="D100:D105" si="24">B$1+OFFSET(D100,-20,0,1,1)</f>
        <v>18405</v>
      </c>
      <c r="E100" cm="1">
        <f ca="1" t="array" ref="E100">INDEX(C:C,MATCH(MIN(ABS(C:C-D100)),ABS(C:C-D100),0))</f>
        <v>18406</v>
      </c>
      <c r="F100">
        <f t="shared" si="22"/>
        <v>4</v>
      </c>
      <c r="G100">
        <f ca="1" t="shared" si="23"/>
        <v>116</v>
      </c>
      <c r="H100">
        <f ca="1" t="shared" si="16"/>
        <v>0.413044353272957</v>
      </c>
      <c r="I100">
        <f ca="1" t="shared" si="17"/>
        <v>0.870448722238725</v>
      </c>
      <c r="J100">
        <f ca="1" t="shared" si="18"/>
        <v>0.154555958461788</v>
      </c>
      <c r="K100">
        <f ca="1" t="shared" si="19"/>
        <v>0.920760838734135</v>
      </c>
      <c r="L100" cm="1">
        <f ca="1" t="array" ref="L100:O100">_xlfn.SORTBY($R$4:$U$4,H100:K100)</f>
        <v>0</v>
      </c>
      <c r="M100">
        <v>0</v>
      </c>
      <c r="N100">
        <v>0</v>
      </c>
      <c r="O100">
        <v>1</v>
      </c>
      <c r="P100" t="str">
        <f ca="1" t="shared" si="20"/>
        <v>18406 0 0 0 1</v>
      </c>
      <c r="R100">
        <v>0</v>
      </c>
      <c r="S100">
        <v>0</v>
      </c>
      <c r="T100">
        <v>0</v>
      </c>
      <c r="U100">
        <v>1</v>
      </c>
      <c r="V100" t="str">
        <f ca="1" t="shared" si="21"/>
        <v>18406 0 0 0 1</v>
      </c>
    </row>
    <row r="101" spans="3:22">
      <c r="C101">
        <v>2483</v>
      </c>
      <c r="D101">
        <f ca="1" t="shared" si="24"/>
        <v>18636</v>
      </c>
      <c r="E101" cm="1">
        <f ca="1" t="array" ref="E101">INDEX(C:C,MATCH(MIN(ABS(C:C-D101)),ABS(C:C-D101),0))</f>
        <v>18637</v>
      </c>
      <c r="F101">
        <f t="shared" si="22"/>
        <v>5</v>
      </c>
      <c r="G101">
        <f ca="1" t="shared" si="23"/>
        <v>231</v>
      </c>
      <c r="H101">
        <f ca="1" t="shared" si="16"/>
        <v>0.313534818200644</v>
      </c>
      <c r="I101">
        <f ca="1" t="shared" si="17"/>
        <v>0.728099755995916</v>
      </c>
      <c r="J101">
        <f ca="1" t="shared" si="18"/>
        <v>0.0216286754244093</v>
      </c>
      <c r="K101">
        <f ca="1" t="shared" si="19"/>
        <v>0.293386022764772</v>
      </c>
      <c r="L101" cm="1">
        <f ca="1" t="array" ref="L101:O101">_xlfn.SORTBY($R$4:$U$4,H101:K101)</f>
        <v>0</v>
      </c>
      <c r="M101">
        <v>1</v>
      </c>
      <c r="N101">
        <v>0</v>
      </c>
      <c r="O101">
        <v>0</v>
      </c>
      <c r="P101" t="str">
        <f ca="1" t="shared" si="20"/>
        <v>18637 0 1 0 0</v>
      </c>
      <c r="R101">
        <v>1</v>
      </c>
      <c r="S101">
        <v>0</v>
      </c>
      <c r="T101">
        <v>0</v>
      </c>
      <c r="U101">
        <v>0</v>
      </c>
      <c r="V101" t="str">
        <f ca="1" t="shared" si="21"/>
        <v>18637 1 0 0 0</v>
      </c>
    </row>
    <row r="102" spans="3:22">
      <c r="C102">
        <v>2506</v>
      </c>
      <c r="D102">
        <f ca="1" t="shared" si="24"/>
        <v>18866</v>
      </c>
      <c r="E102" cm="1">
        <f ca="1" t="array" ref="E102">INDEX(C:C,MATCH(MIN(ABS(C:C-D102)),ABS(C:C-D102),0))</f>
        <v>18867</v>
      </c>
      <c r="F102">
        <f t="shared" si="22"/>
        <v>5</v>
      </c>
      <c r="G102">
        <f ca="1" t="shared" si="23"/>
        <v>230</v>
      </c>
      <c r="H102">
        <f ca="1" t="shared" si="16"/>
        <v>0.901000193097644</v>
      </c>
      <c r="I102">
        <f ca="1" t="shared" si="17"/>
        <v>0.199977668729821</v>
      </c>
      <c r="J102">
        <f ca="1" t="shared" si="18"/>
        <v>0.519861363255578</v>
      </c>
      <c r="K102">
        <f ca="1" t="shared" si="19"/>
        <v>0.228907052631868</v>
      </c>
      <c r="L102" cm="1">
        <f ca="1" t="array" ref="L102:O102">_xlfn.SORTBY($R$4:$U$4,H102:K102)</f>
        <v>0</v>
      </c>
      <c r="M102">
        <v>1</v>
      </c>
      <c r="N102">
        <v>0</v>
      </c>
      <c r="O102">
        <v>0</v>
      </c>
      <c r="P102" t="str">
        <f ca="1" t="shared" si="20"/>
        <v>18867 0 1 0 0</v>
      </c>
      <c r="R102">
        <v>0</v>
      </c>
      <c r="S102">
        <v>0</v>
      </c>
      <c r="T102">
        <v>1</v>
      </c>
      <c r="U102">
        <v>0</v>
      </c>
      <c r="V102" t="str">
        <f ca="1" t="shared" si="21"/>
        <v>18867 0 0 1 0</v>
      </c>
    </row>
    <row r="103" spans="3:22">
      <c r="C103">
        <v>2529</v>
      </c>
      <c r="D103">
        <f ca="1" t="shared" si="24"/>
        <v>19097</v>
      </c>
      <c r="E103" cm="1">
        <f ca="1" t="array" ref="E103">INDEX(C:C,MATCH(MIN(ABS(C:C-D103)),ABS(C:C-D103),0))</f>
        <v>19098</v>
      </c>
      <c r="F103">
        <f t="shared" si="22"/>
        <v>5</v>
      </c>
      <c r="G103">
        <f ca="1" t="shared" si="23"/>
        <v>231</v>
      </c>
      <c r="H103">
        <f ca="1" t="shared" si="16"/>
        <v>0.823895315434151</v>
      </c>
      <c r="I103">
        <f ca="1" t="shared" si="17"/>
        <v>0.0548600540077966</v>
      </c>
      <c r="J103">
        <f ca="1" t="shared" si="18"/>
        <v>0.150273581110436</v>
      </c>
      <c r="K103">
        <f ca="1" t="shared" si="19"/>
        <v>0.347369311795299</v>
      </c>
      <c r="L103" cm="1">
        <f ca="1" t="array" ref="L103:O103">_xlfn.SORTBY($R$4:$U$4,H103:K103)</f>
        <v>0</v>
      </c>
      <c r="M103">
        <v>0</v>
      </c>
      <c r="N103">
        <v>1</v>
      </c>
      <c r="O103">
        <v>0</v>
      </c>
      <c r="P103" t="str">
        <f ca="1" t="shared" si="20"/>
        <v>19098 0 0 1 0</v>
      </c>
      <c r="R103">
        <v>1</v>
      </c>
      <c r="S103">
        <v>0</v>
      </c>
      <c r="T103">
        <v>0</v>
      </c>
      <c r="U103">
        <v>0</v>
      </c>
      <c r="V103" t="str">
        <f ca="1" t="shared" si="21"/>
        <v>19098 1 0 0 0</v>
      </c>
    </row>
    <row r="104" spans="3:22">
      <c r="C104">
        <v>2552</v>
      </c>
      <c r="D104">
        <f ca="1" t="shared" si="24"/>
        <v>19213</v>
      </c>
      <c r="E104" cm="1">
        <f ca="1" t="array" ref="E104">INDEX(C:C,MATCH(MIN(ABS(C:C-D104)),ABS(C:C-D104),0))</f>
        <v>19213</v>
      </c>
      <c r="F104">
        <f t="shared" si="22"/>
        <v>5</v>
      </c>
      <c r="G104">
        <f ca="1" t="shared" si="23"/>
        <v>115</v>
      </c>
      <c r="H104">
        <f ca="1" t="shared" si="16"/>
        <v>0.664961704131763</v>
      </c>
      <c r="I104">
        <f ca="1" t="shared" si="17"/>
        <v>0.189905558058391</v>
      </c>
      <c r="J104">
        <f ca="1" t="shared" si="18"/>
        <v>0.0992286929470367</v>
      </c>
      <c r="K104">
        <f ca="1" t="shared" si="19"/>
        <v>0.301724854193074</v>
      </c>
      <c r="L104" cm="1">
        <f ca="1" t="array" ref="L104:O104">_xlfn.SORTBY($R$4:$U$4,H104:K104)</f>
        <v>0</v>
      </c>
      <c r="M104">
        <v>0</v>
      </c>
      <c r="N104">
        <v>1</v>
      </c>
      <c r="O104">
        <v>0</v>
      </c>
      <c r="P104" t="str">
        <f ca="1" t="shared" si="20"/>
        <v>19213 0 0 1 0</v>
      </c>
      <c r="R104">
        <v>1</v>
      </c>
      <c r="S104">
        <v>0</v>
      </c>
      <c r="T104">
        <v>0</v>
      </c>
      <c r="U104">
        <v>0</v>
      </c>
      <c r="V104" t="str">
        <f ca="1" t="shared" si="21"/>
        <v>19213 1 0 0 0</v>
      </c>
    </row>
    <row r="105" spans="3:22">
      <c r="C105">
        <v>2575</v>
      </c>
      <c r="D105">
        <f ca="1" t="shared" si="24"/>
        <v>19443</v>
      </c>
      <c r="E105" cm="1">
        <f ca="1" t="array" ref="E105">INDEX(C:C,MATCH(MIN(ABS(C:C-D105)),ABS(C:C-D105),0))</f>
        <v>19444</v>
      </c>
      <c r="F105">
        <f t="shared" si="22"/>
        <v>5</v>
      </c>
      <c r="G105">
        <f ca="1" t="shared" si="23"/>
        <v>231</v>
      </c>
      <c r="H105">
        <f ca="1" t="shared" si="16"/>
        <v>0.675440848441127</v>
      </c>
      <c r="I105">
        <f ca="1" t="shared" si="17"/>
        <v>0.244748547106309</v>
      </c>
      <c r="J105">
        <f ca="1" t="shared" si="18"/>
        <v>0.161083964524889</v>
      </c>
      <c r="K105">
        <f ca="1" t="shared" si="19"/>
        <v>0.237932333692759</v>
      </c>
      <c r="L105" cm="1">
        <f ca="1" t="array" ref="L105:O105">_xlfn.SORTBY($R$4:$U$4,H105:K105)</f>
        <v>0</v>
      </c>
      <c r="M105">
        <v>1</v>
      </c>
      <c r="N105">
        <v>0</v>
      </c>
      <c r="O105">
        <v>0</v>
      </c>
      <c r="P105" t="str">
        <f ca="1" t="shared" si="20"/>
        <v>19444 0 1 0 0</v>
      </c>
      <c r="R105">
        <v>1</v>
      </c>
      <c r="S105">
        <v>0</v>
      </c>
      <c r="T105">
        <v>0</v>
      </c>
      <c r="U105">
        <v>0</v>
      </c>
      <c r="V105" t="str">
        <f ca="1" t="shared" si="21"/>
        <v>19444 1 0 0 0</v>
      </c>
    </row>
    <row r="106" spans="3:22">
      <c r="C106">
        <v>2598</v>
      </c>
      <c r="D106">
        <f ca="1" t="shared" ref="D106:D120" si="25">B$1+OFFSET(D106,-20,0,1,1)</f>
        <v>19559</v>
      </c>
      <c r="E106" cm="1">
        <f ca="1" t="array" ref="E106">INDEX(C:C,MATCH(MIN(ABS(C:C-D106)),ABS(C:C-D106),0))</f>
        <v>19560</v>
      </c>
      <c r="F106">
        <f t="shared" si="22"/>
        <v>5</v>
      </c>
      <c r="G106">
        <f ca="1" t="shared" si="23"/>
        <v>116</v>
      </c>
      <c r="H106">
        <f ca="1" t="shared" si="16"/>
        <v>0.220797823171313</v>
      </c>
      <c r="I106">
        <f ca="1" t="shared" si="17"/>
        <v>0.709246390111552</v>
      </c>
      <c r="J106">
        <f ca="1" t="shared" si="18"/>
        <v>0.0212483498445752</v>
      </c>
      <c r="K106">
        <f ca="1" t="shared" si="19"/>
        <v>0.341528212179648</v>
      </c>
      <c r="L106" cm="1">
        <f ca="1" t="array" ref="L106:O106">_xlfn.SORTBY($R$4:$U$4,H106:K106)</f>
        <v>0</v>
      </c>
      <c r="M106">
        <v>0</v>
      </c>
      <c r="N106">
        <v>1</v>
      </c>
      <c r="O106">
        <v>0</v>
      </c>
      <c r="P106" t="str">
        <f ca="1" t="shared" si="20"/>
        <v>19560 0 0 1 0</v>
      </c>
      <c r="R106">
        <v>0</v>
      </c>
      <c r="S106">
        <v>0</v>
      </c>
      <c r="T106">
        <v>0</v>
      </c>
      <c r="U106">
        <v>1</v>
      </c>
      <c r="V106" t="str">
        <f ca="1" t="shared" si="21"/>
        <v>19560 0 0 0 1</v>
      </c>
    </row>
    <row r="107" spans="3:22">
      <c r="C107">
        <v>2621</v>
      </c>
      <c r="D107">
        <f ca="1" t="shared" si="25"/>
        <v>19790</v>
      </c>
      <c r="E107" cm="1">
        <f ca="1" t="array" ref="E107">INDEX(C:C,MATCH(MIN(ABS(C:C-D107)),ABS(C:C-D107),0))</f>
        <v>19790</v>
      </c>
      <c r="F107">
        <f t="shared" si="22"/>
        <v>5</v>
      </c>
      <c r="G107">
        <f ca="1" t="shared" si="23"/>
        <v>230</v>
      </c>
      <c r="H107">
        <f ca="1" t="shared" si="16"/>
        <v>0.0309862301827581</v>
      </c>
      <c r="I107">
        <f ca="1" t="shared" si="17"/>
        <v>0.370968363741635</v>
      </c>
      <c r="J107">
        <f ca="1" t="shared" si="18"/>
        <v>0.109298075386164</v>
      </c>
      <c r="K107">
        <f ca="1" t="shared" si="19"/>
        <v>0.585025317731641</v>
      </c>
      <c r="L107" cm="1">
        <f ca="1" t="array" ref="L107:O107">_xlfn.SORTBY($R$4:$U$4,H107:K107)</f>
        <v>0</v>
      </c>
      <c r="M107">
        <v>0</v>
      </c>
      <c r="N107">
        <v>0</v>
      </c>
      <c r="O107">
        <v>1</v>
      </c>
      <c r="P107" t="str">
        <f ca="1" t="shared" si="20"/>
        <v>19790 0 0 0 1</v>
      </c>
      <c r="R107">
        <v>1</v>
      </c>
      <c r="S107">
        <v>0</v>
      </c>
      <c r="T107">
        <v>0</v>
      </c>
      <c r="U107">
        <v>0</v>
      </c>
      <c r="V107" t="str">
        <f ca="1" t="shared" si="21"/>
        <v>19790 1 0 0 0</v>
      </c>
    </row>
    <row r="108" spans="3:22">
      <c r="C108">
        <v>2644</v>
      </c>
      <c r="D108">
        <f ca="1" t="shared" si="25"/>
        <v>19905</v>
      </c>
      <c r="E108" cm="1">
        <f ca="1" t="array" ref="E108">INDEX(C:C,MATCH(MIN(ABS(C:C-D108)),ABS(C:C-D108),0))</f>
        <v>19906</v>
      </c>
      <c r="F108">
        <f t="shared" si="22"/>
        <v>5</v>
      </c>
      <c r="G108">
        <f ca="1" t="shared" si="23"/>
        <v>116</v>
      </c>
      <c r="H108">
        <f ca="1" t="shared" si="16"/>
        <v>0.843754978074531</v>
      </c>
      <c r="I108">
        <f ca="1" t="shared" si="17"/>
        <v>0.631883630134118</v>
      </c>
      <c r="J108">
        <f ca="1" t="shared" si="18"/>
        <v>0.624542028710051</v>
      </c>
      <c r="K108">
        <f ca="1" t="shared" si="19"/>
        <v>0.926560331502929</v>
      </c>
      <c r="L108" cm="1">
        <f ca="1" t="array" ref="L108:O108">_xlfn.SORTBY($R$4:$U$4,H108:K108)</f>
        <v>0</v>
      </c>
      <c r="M108">
        <v>0</v>
      </c>
      <c r="N108">
        <v>0</v>
      </c>
      <c r="O108">
        <v>1</v>
      </c>
      <c r="P108" t="str">
        <f ca="1" t="shared" si="20"/>
        <v>19906 0 0 0 1</v>
      </c>
      <c r="R108">
        <v>1</v>
      </c>
      <c r="S108">
        <v>0</v>
      </c>
      <c r="T108">
        <v>0</v>
      </c>
      <c r="U108">
        <v>0</v>
      </c>
      <c r="V108" t="str">
        <f ca="1" t="shared" si="21"/>
        <v>19906 1 0 0 0</v>
      </c>
    </row>
    <row r="109" spans="3:22">
      <c r="C109">
        <v>2667</v>
      </c>
      <c r="D109">
        <f ca="1" t="shared" si="25"/>
        <v>20136</v>
      </c>
      <c r="E109" cm="1">
        <f ca="1" t="array" ref="E109">INDEX(C:C,MATCH(MIN(ABS(C:C-D109)),ABS(C:C-D109),0))</f>
        <v>20137</v>
      </c>
      <c r="F109">
        <f t="shared" si="22"/>
        <v>5</v>
      </c>
      <c r="G109">
        <f ca="1" t="shared" si="23"/>
        <v>231</v>
      </c>
      <c r="H109">
        <f ca="1" t="shared" si="16"/>
        <v>0.978148138451488</v>
      </c>
      <c r="I109">
        <f ca="1" t="shared" si="17"/>
        <v>0.0438942392899402</v>
      </c>
      <c r="J109">
        <f ca="1" t="shared" si="18"/>
        <v>0.0668441078536535</v>
      </c>
      <c r="K109">
        <f ca="1" t="shared" si="19"/>
        <v>0.875689277214246</v>
      </c>
      <c r="L109" cm="1">
        <f ca="1" t="array" ref="L109:O109">_xlfn.SORTBY($R$4:$U$4,H109:K109)</f>
        <v>0</v>
      </c>
      <c r="M109">
        <v>0</v>
      </c>
      <c r="N109">
        <v>1</v>
      </c>
      <c r="O109">
        <v>0</v>
      </c>
      <c r="P109" t="str">
        <f ca="1" t="shared" si="20"/>
        <v>20137 0 0 1 0</v>
      </c>
      <c r="R109">
        <v>0</v>
      </c>
      <c r="S109">
        <v>0</v>
      </c>
      <c r="T109">
        <v>1</v>
      </c>
      <c r="U109">
        <v>0</v>
      </c>
      <c r="V109" t="str">
        <f ca="1" t="shared" si="21"/>
        <v>20137 0 0 1 0</v>
      </c>
    </row>
    <row r="110" spans="3:22">
      <c r="C110">
        <v>2690</v>
      </c>
      <c r="D110">
        <f ca="1" t="shared" si="25"/>
        <v>20251</v>
      </c>
      <c r="E110" cm="1">
        <f ca="1" t="array" ref="E110">INDEX(C:C,MATCH(MIN(ABS(C:C-D110)),ABS(C:C-D110),0))</f>
        <v>20252</v>
      </c>
      <c r="F110">
        <f t="shared" si="22"/>
        <v>5</v>
      </c>
      <c r="G110">
        <f ca="1" t="shared" si="23"/>
        <v>115</v>
      </c>
      <c r="H110">
        <f ca="1" t="shared" si="16"/>
        <v>0.958920811992032</v>
      </c>
      <c r="I110">
        <f ca="1" t="shared" si="17"/>
        <v>0.535326411788609</v>
      </c>
      <c r="J110">
        <f ca="1" t="shared" si="18"/>
        <v>0.890212294790781</v>
      </c>
      <c r="K110">
        <f ca="1" t="shared" si="19"/>
        <v>0.199394922619484</v>
      </c>
      <c r="L110" cm="1">
        <f ca="1" t="array" ref="L110:O110">_xlfn.SORTBY($R$4:$U$4,H110:K110)</f>
        <v>1</v>
      </c>
      <c r="M110">
        <v>0</v>
      </c>
      <c r="N110">
        <v>0</v>
      </c>
      <c r="O110">
        <v>0</v>
      </c>
      <c r="P110" t="str">
        <f ca="1" t="shared" si="20"/>
        <v>20252 1 0 0 0</v>
      </c>
      <c r="R110">
        <v>1</v>
      </c>
      <c r="S110">
        <v>0</v>
      </c>
      <c r="T110">
        <v>0</v>
      </c>
      <c r="U110">
        <v>0</v>
      </c>
      <c r="V110" t="str">
        <f ca="1" t="shared" si="21"/>
        <v>20252 1 0 0 0</v>
      </c>
    </row>
    <row r="111" spans="3:22">
      <c r="C111">
        <v>2713</v>
      </c>
      <c r="D111">
        <f ca="1" t="shared" si="25"/>
        <v>20482</v>
      </c>
      <c r="E111" cm="1">
        <f ca="1" t="array" ref="E111">INDEX(C:C,MATCH(MIN(ABS(C:C-D111)),ABS(C:C-D111),0))</f>
        <v>20483</v>
      </c>
      <c r="F111">
        <f t="shared" si="22"/>
        <v>5</v>
      </c>
      <c r="G111">
        <f ca="1" t="shared" si="23"/>
        <v>231</v>
      </c>
      <c r="H111">
        <f ca="1" t="shared" si="16"/>
        <v>0.218124743841934</v>
      </c>
      <c r="I111">
        <f ca="1" t="shared" si="17"/>
        <v>0.363482513149093</v>
      </c>
      <c r="J111">
        <f ca="1" t="shared" si="18"/>
        <v>0.422955716363042</v>
      </c>
      <c r="K111">
        <f ca="1" t="shared" si="19"/>
        <v>0.779822300490723</v>
      </c>
      <c r="L111" cm="1">
        <f ca="1" t="array" ref="L111:O111">_xlfn.SORTBY($R$4:$U$4,H111:K111)</f>
        <v>0</v>
      </c>
      <c r="M111">
        <v>0</v>
      </c>
      <c r="N111">
        <v>0</v>
      </c>
      <c r="O111">
        <v>1</v>
      </c>
      <c r="P111" t="str">
        <f ca="1" t="shared" si="20"/>
        <v>20483 0 0 0 1</v>
      </c>
      <c r="R111">
        <v>0</v>
      </c>
      <c r="S111">
        <v>1</v>
      </c>
      <c r="T111">
        <v>0</v>
      </c>
      <c r="U111">
        <v>0</v>
      </c>
      <c r="V111" t="str">
        <f ca="1" t="shared" si="21"/>
        <v>20483 0 1 0 0</v>
      </c>
    </row>
    <row r="112" spans="3:22">
      <c r="C112">
        <v>2737</v>
      </c>
      <c r="D112">
        <f ca="1" t="shared" si="25"/>
        <v>20713</v>
      </c>
      <c r="E112" cm="1">
        <f ca="1" t="array" ref="E112">INDEX(C:C,MATCH(MIN(ABS(C:C-D112)),ABS(C:C-D112),0))</f>
        <v>20713</v>
      </c>
      <c r="F112">
        <f t="shared" si="22"/>
        <v>5</v>
      </c>
      <c r="G112">
        <f ca="1" t="shared" si="23"/>
        <v>230</v>
      </c>
      <c r="H112">
        <f ca="1" t="shared" si="16"/>
        <v>0.0573826110151467</v>
      </c>
      <c r="I112">
        <f ca="1" t="shared" si="17"/>
        <v>0.268523046332247</v>
      </c>
      <c r="J112">
        <f ca="1" t="shared" si="18"/>
        <v>0.57405941185828</v>
      </c>
      <c r="K112">
        <f ca="1" t="shared" si="19"/>
        <v>0.161859680952082</v>
      </c>
      <c r="L112" cm="1">
        <f ca="1" t="array" ref="L112:O112">_xlfn.SORTBY($R$4:$U$4,H112:K112)</f>
        <v>0</v>
      </c>
      <c r="M112">
        <v>1</v>
      </c>
      <c r="N112">
        <v>0</v>
      </c>
      <c r="O112">
        <v>0</v>
      </c>
      <c r="P112" t="str">
        <f ca="1" t="shared" si="20"/>
        <v>20713 0 1 0 0</v>
      </c>
      <c r="R112">
        <v>0</v>
      </c>
      <c r="S112">
        <v>0</v>
      </c>
      <c r="T112">
        <v>0</v>
      </c>
      <c r="U112">
        <v>1</v>
      </c>
      <c r="V112" t="str">
        <f ca="1" t="shared" si="21"/>
        <v>20713 0 0 0 1</v>
      </c>
    </row>
    <row r="113" spans="3:22">
      <c r="C113">
        <v>2760</v>
      </c>
      <c r="D113">
        <f ca="1" t="shared" si="25"/>
        <v>20944</v>
      </c>
      <c r="E113" cm="1">
        <f ca="1" t="array" ref="E113">INDEX(C:C,MATCH(MIN(ABS(C:C-D113)),ABS(C:C-D113),0))</f>
        <v>20944</v>
      </c>
      <c r="F113">
        <f t="shared" si="22"/>
        <v>5</v>
      </c>
      <c r="G113">
        <f ca="1" t="shared" si="23"/>
        <v>231</v>
      </c>
      <c r="H113">
        <f ca="1" t="shared" si="16"/>
        <v>0.405394644249471</v>
      </c>
      <c r="I113">
        <f ca="1" t="shared" si="17"/>
        <v>0.48417970404159</v>
      </c>
      <c r="J113">
        <f ca="1" t="shared" si="18"/>
        <v>0.0450352334961617</v>
      </c>
      <c r="K113">
        <f ca="1" t="shared" si="19"/>
        <v>0.117301263444172</v>
      </c>
      <c r="L113" cm="1">
        <f ca="1" t="array" ref="L113:O113">_xlfn.SORTBY($R$4:$U$4,H113:K113)</f>
        <v>0</v>
      </c>
      <c r="M113">
        <v>1</v>
      </c>
      <c r="N113">
        <v>0</v>
      </c>
      <c r="O113">
        <v>0</v>
      </c>
      <c r="P113" t="str">
        <f ca="1" t="shared" ref="P113:P144" si="26">E113&amp;" "&amp;L113&amp;" "&amp;M113&amp;" "&amp;N113&amp;" "&amp;O113</f>
        <v>20944 0 1 0 0</v>
      </c>
      <c r="R113">
        <v>0</v>
      </c>
      <c r="S113">
        <v>1</v>
      </c>
      <c r="T113">
        <v>0</v>
      </c>
      <c r="U113">
        <v>0</v>
      </c>
      <c r="V113" t="str">
        <f ca="1" t="shared" si="21"/>
        <v>20944 0 1 0 0</v>
      </c>
    </row>
    <row r="114" spans="3:22">
      <c r="C114">
        <v>2783</v>
      </c>
      <c r="D114">
        <f ca="1" t="shared" si="25"/>
        <v>21059</v>
      </c>
      <c r="E114" cm="1">
        <f ca="1" t="array" ref="E114">INDEX(C:C,MATCH(MIN(ABS(C:C-D114)),ABS(C:C-D114),0))</f>
        <v>21060</v>
      </c>
      <c r="F114">
        <f t="shared" si="22"/>
        <v>5</v>
      </c>
      <c r="G114">
        <f ca="1" t="shared" si="23"/>
        <v>116</v>
      </c>
      <c r="H114">
        <f ca="1" t="shared" si="16"/>
        <v>0.591283609814195</v>
      </c>
      <c r="I114">
        <f ca="1" t="shared" si="17"/>
        <v>0.222404269243116</v>
      </c>
      <c r="J114">
        <f ca="1" t="shared" si="18"/>
        <v>0.260524129014561</v>
      </c>
      <c r="K114">
        <f ca="1" t="shared" si="19"/>
        <v>0.866638442622517</v>
      </c>
      <c r="L114" cm="1">
        <f ca="1" t="array" ref="L114:O114">_xlfn.SORTBY($R$4:$U$4,H114:K114)</f>
        <v>0</v>
      </c>
      <c r="M114">
        <v>0</v>
      </c>
      <c r="N114">
        <v>0</v>
      </c>
      <c r="O114">
        <v>1</v>
      </c>
      <c r="P114" t="str">
        <f ca="1" t="shared" si="26"/>
        <v>21060 0 0 0 1</v>
      </c>
      <c r="R114">
        <v>1</v>
      </c>
      <c r="S114">
        <v>0</v>
      </c>
      <c r="T114">
        <v>0</v>
      </c>
      <c r="U114">
        <v>0</v>
      </c>
      <c r="V114" t="str">
        <f ca="1" t="shared" ref="V114:V160" si="27">E114&amp;" "&amp;R114&amp;" "&amp;S114&amp;" "&amp;T114&amp;" "&amp;U114</f>
        <v>21060 1 0 0 0</v>
      </c>
    </row>
    <row r="115" spans="3:22">
      <c r="C115">
        <v>2806</v>
      </c>
      <c r="D115">
        <f ca="1" t="shared" si="25"/>
        <v>21290</v>
      </c>
      <c r="E115" cm="1">
        <f ca="1" t="array" ref="E115">INDEX(C:C,MATCH(MIN(ABS(C:C-D115)),ABS(C:C-D115),0))</f>
        <v>21290</v>
      </c>
      <c r="F115">
        <f t="shared" si="22"/>
        <v>5</v>
      </c>
      <c r="G115">
        <f ca="1" t="shared" si="23"/>
        <v>230</v>
      </c>
      <c r="H115">
        <f ca="1" t="shared" si="16"/>
        <v>0.963155887367033</v>
      </c>
      <c r="I115">
        <f ca="1" t="shared" si="17"/>
        <v>0.554377560710299</v>
      </c>
      <c r="J115">
        <f ca="1" t="shared" si="18"/>
        <v>0.833258682586363</v>
      </c>
      <c r="K115">
        <f ca="1" t="shared" si="19"/>
        <v>0.476921452101977</v>
      </c>
      <c r="L115" cm="1">
        <f ca="1" t="array" ref="L115:O115">_xlfn.SORTBY($R$4:$U$4,H115:K115)</f>
        <v>1</v>
      </c>
      <c r="M115">
        <v>0</v>
      </c>
      <c r="N115">
        <v>0</v>
      </c>
      <c r="O115">
        <v>0</v>
      </c>
      <c r="P115" t="str">
        <f ca="1" t="shared" si="26"/>
        <v>21290 1 0 0 0</v>
      </c>
      <c r="R115">
        <v>0</v>
      </c>
      <c r="S115">
        <v>0</v>
      </c>
      <c r="T115">
        <v>0</v>
      </c>
      <c r="U115">
        <v>1</v>
      </c>
      <c r="V115" t="str">
        <f ca="1" t="shared" si="27"/>
        <v>21290 0 0 0 1</v>
      </c>
    </row>
    <row r="116" spans="3:22">
      <c r="C116">
        <v>2829</v>
      </c>
      <c r="D116">
        <f ca="1" t="shared" si="25"/>
        <v>21405</v>
      </c>
      <c r="E116" cm="1">
        <f ca="1" t="array" ref="E116">INDEX(C:C,MATCH(MIN(ABS(C:C-D116)),ABS(C:C-D116),0))</f>
        <v>21406</v>
      </c>
      <c r="F116">
        <f t="shared" si="22"/>
        <v>5</v>
      </c>
      <c r="G116">
        <f ca="1" t="shared" si="23"/>
        <v>116</v>
      </c>
      <c r="H116">
        <f ca="1" t="shared" si="16"/>
        <v>0.57960112882128</v>
      </c>
      <c r="I116">
        <f ca="1" t="shared" si="17"/>
        <v>0.288465899987087</v>
      </c>
      <c r="J116">
        <f ca="1" t="shared" si="18"/>
        <v>0.868145766462769</v>
      </c>
      <c r="K116">
        <f ca="1" t="shared" si="19"/>
        <v>0.797219893219418</v>
      </c>
      <c r="L116" cm="1">
        <f ca="1" t="array" ref="L116:O116">_xlfn.SORTBY($R$4:$U$4,H116:K116)</f>
        <v>0</v>
      </c>
      <c r="M116">
        <v>0</v>
      </c>
      <c r="N116">
        <v>1</v>
      </c>
      <c r="O116">
        <v>0</v>
      </c>
      <c r="P116" t="str">
        <f ca="1" t="shared" si="26"/>
        <v>21406 0 0 1 0</v>
      </c>
      <c r="R116">
        <v>0</v>
      </c>
      <c r="S116">
        <v>0</v>
      </c>
      <c r="T116">
        <v>0</v>
      </c>
      <c r="U116">
        <v>1</v>
      </c>
      <c r="V116" t="str">
        <f ca="1" t="shared" si="27"/>
        <v>21406 0 0 0 1</v>
      </c>
    </row>
    <row r="117" spans="3:22">
      <c r="C117">
        <v>2852</v>
      </c>
      <c r="D117">
        <f ca="1" t="shared" si="25"/>
        <v>21636</v>
      </c>
      <c r="E117" cm="1">
        <f ca="1" t="array" ref="E117">INDEX(C:C,MATCH(MIN(ABS(C:C-D117)),ABS(C:C-D117),0))</f>
        <v>21637</v>
      </c>
      <c r="F117">
        <f t="shared" si="22"/>
        <v>5</v>
      </c>
      <c r="G117">
        <f ca="1" t="shared" si="23"/>
        <v>231</v>
      </c>
      <c r="H117">
        <f ca="1" t="shared" si="16"/>
        <v>0.647835674695201</v>
      </c>
      <c r="I117">
        <f ca="1" t="shared" si="17"/>
        <v>0.366298856920097</v>
      </c>
      <c r="J117">
        <f ca="1" t="shared" si="18"/>
        <v>0.299871511786662</v>
      </c>
      <c r="K117">
        <f ca="1" t="shared" si="19"/>
        <v>0.787943086075183</v>
      </c>
      <c r="L117" cm="1">
        <f ca="1" t="array" ref="L117:O117">_xlfn.SORTBY($R$4:$U$4,H117:K117)</f>
        <v>0</v>
      </c>
      <c r="M117">
        <v>0</v>
      </c>
      <c r="N117">
        <v>0</v>
      </c>
      <c r="O117">
        <v>1</v>
      </c>
      <c r="P117" t="str">
        <f ca="1" t="shared" si="26"/>
        <v>21637 0 0 0 1</v>
      </c>
      <c r="R117">
        <v>1</v>
      </c>
      <c r="S117">
        <v>0</v>
      </c>
      <c r="T117">
        <v>0</v>
      </c>
      <c r="U117">
        <v>0</v>
      </c>
      <c r="V117" t="str">
        <f ca="1" t="shared" si="27"/>
        <v>21637 1 0 0 0</v>
      </c>
    </row>
    <row r="118" spans="3:22">
      <c r="C118">
        <v>2875</v>
      </c>
      <c r="D118">
        <f ca="1" t="shared" si="25"/>
        <v>21751</v>
      </c>
      <c r="E118" cm="1">
        <f ca="1" t="array" ref="E118">INDEX(C:C,MATCH(MIN(ABS(C:C-D118)),ABS(C:C-D118),0))</f>
        <v>21752</v>
      </c>
      <c r="F118">
        <f t="shared" si="22"/>
        <v>5</v>
      </c>
      <c r="G118">
        <f ca="1" t="shared" si="23"/>
        <v>115</v>
      </c>
      <c r="H118">
        <f ca="1" t="shared" si="16"/>
        <v>0.963227765405374</v>
      </c>
      <c r="I118">
        <f ca="1" t="shared" si="17"/>
        <v>0.984880891887293</v>
      </c>
      <c r="J118">
        <f ca="1" t="shared" si="18"/>
        <v>0.241586235033622</v>
      </c>
      <c r="K118">
        <f ca="1" t="shared" si="19"/>
        <v>0.762985287548047</v>
      </c>
      <c r="L118" cm="1">
        <f ca="1" t="array" ref="L118:O118">_xlfn.SORTBY($R$4:$U$4,H118:K118)</f>
        <v>0</v>
      </c>
      <c r="M118">
        <v>1</v>
      </c>
      <c r="N118">
        <v>0</v>
      </c>
      <c r="O118">
        <v>0</v>
      </c>
      <c r="P118" t="str">
        <f ca="1" t="shared" si="26"/>
        <v>21752 0 1 0 0</v>
      </c>
      <c r="R118">
        <v>0</v>
      </c>
      <c r="S118">
        <v>0</v>
      </c>
      <c r="T118">
        <v>0</v>
      </c>
      <c r="U118">
        <v>1</v>
      </c>
      <c r="V118" t="str">
        <f ca="1" t="shared" si="27"/>
        <v>21752 0 0 0 1</v>
      </c>
    </row>
    <row r="119" spans="3:22">
      <c r="C119">
        <v>2898</v>
      </c>
      <c r="D119">
        <f ca="1" t="shared" si="25"/>
        <v>21982</v>
      </c>
      <c r="E119" cm="1">
        <f ca="1" t="array" ref="E119">INDEX(C:C,MATCH(MIN(ABS(C:C-D119)),ABS(C:C-D119),0))</f>
        <v>21983</v>
      </c>
      <c r="F119">
        <f t="shared" si="22"/>
        <v>5</v>
      </c>
      <c r="G119">
        <f ca="1" t="shared" si="23"/>
        <v>231</v>
      </c>
      <c r="H119">
        <f ca="1" t="shared" si="16"/>
        <v>0.624195617408052</v>
      </c>
      <c r="I119">
        <f ca="1" t="shared" si="17"/>
        <v>0.931550406545111</v>
      </c>
      <c r="J119">
        <f ca="1" t="shared" si="18"/>
        <v>0.919359647489488</v>
      </c>
      <c r="K119">
        <f ca="1" t="shared" si="19"/>
        <v>0.886972303857763</v>
      </c>
      <c r="L119" cm="1">
        <f ca="1" t="array" ref="L119:O119">_xlfn.SORTBY($R$4:$U$4,H119:K119)</f>
        <v>0</v>
      </c>
      <c r="M119">
        <v>1</v>
      </c>
      <c r="N119">
        <v>0</v>
      </c>
      <c r="O119">
        <v>0</v>
      </c>
      <c r="P119" t="str">
        <f ca="1" t="shared" si="26"/>
        <v>21983 0 1 0 0</v>
      </c>
      <c r="R119">
        <v>0</v>
      </c>
      <c r="S119">
        <v>1</v>
      </c>
      <c r="T119">
        <v>0</v>
      </c>
      <c r="U119">
        <v>0</v>
      </c>
      <c r="V119" t="str">
        <f ca="1" t="shared" si="27"/>
        <v>21983 0 1 0 0</v>
      </c>
    </row>
    <row r="120" spans="3:22">
      <c r="C120">
        <v>2921</v>
      </c>
      <c r="D120">
        <f ca="1" t="shared" si="25"/>
        <v>22097</v>
      </c>
      <c r="E120" cm="1">
        <f ca="1" t="array" ref="E120">INDEX(C:C,MATCH(MIN(ABS(C:C-D120)),ABS(C:C-D120),0))</f>
        <v>22098</v>
      </c>
      <c r="F120">
        <f t="shared" si="22"/>
        <v>5</v>
      </c>
      <c r="G120">
        <f ca="1" t="shared" si="23"/>
        <v>115</v>
      </c>
      <c r="H120">
        <f ca="1" t="shared" si="16"/>
        <v>0.524606655822326</v>
      </c>
      <c r="I120">
        <f ca="1" t="shared" si="17"/>
        <v>0.172645570530912</v>
      </c>
      <c r="J120">
        <f ca="1" t="shared" si="18"/>
        <v>0.589999303745405</v>
      </c>
      <c r="K120">
        <f ca="1" t="shared" si="19"/>
        <v>0.235912560052071</v>
      </c>
      <c r="L120" cm="1">
        <f ca="1" t="array" ref="L120:O120">_xlfn.SORTBY($R$4:$U$4,H120:K120)</f>
        <v>0</v>
      </c>
      <c r="M120">
        <v>1</v>
      </c>
      <c r="N120">
        <v>0</v>
      </c>
      <c r="O120">
        <v>0</v>
      </c>
      <c r="P120" t="str">
        <f ca="1" t="shared" si="26"/>
        <v>22098 0 1 0 0</v>
      </c>
      <c r="R120">
        <v>0</v>
      </c>
      <c r="S120">
        <v>0</v>
      </c>
      <c r="T120">
        <v>0</v>
      </c>
      <c r="U120">
        <v>1</v>
      </c>
      <c r="V120" t="str">
        <f ca="1" t="shared" si="27"/>
        <v>22098 0 0 0 1</v>
      </c>
    </row>
    <row r="121" spans="3:22">
      <c r="C121">
        <v>2944</v>
      </c>
      <c r="D121">
        <f ca="1" t="shared" ref="D121:D140" si="28">B$1+OFFSET(D121,-20,0,1,1)</f>
        <v>22328</v>
      </c>
      <c r="E121" cm="1">
        <f ca="1" t="array" ref="E121">INDEX(C:C,MATCH(MIN(ABS(C:C-D121)),ABS(C:C-D121),0))</f>
        <v>22329</v>
      </c>
      <c r="F121">
        <f t="shared" ref="F121:F160" si="29">ROUNDDOWN((ROW(F121)-1)/20,0)</f>
        <v>6</v>
      </c>
      <c r="G121">
        <f ca="1" t="shared" si="23"/>
        <v>231</v>
      </c>
      <c r="H121">
        <f ca="1" t="shared" si="16"/>
        <v>0.916499139412137</v>
      </c>
      <c r="I121">
        <f ca="1" t="shared" si="17"/>
        <v>0.906294466671065</v>
      </c>
      <c r="J121">
        <f ca="1" t="shared" si="18"/>
        <v>0.00270817927529299</v>
      </c>
      <c r="K121">
        <f ca="1" t="shared" si="19"/>
        <v>0.0597836479519809</v>
      </c>
      <c r="L121" cm="1">
        <f ca="1" t="array" ref="L121:O121">_xlfn.SORTBY($R$4:$U$4,H121:K121)</f>
        <v>0</v>
      </c>
      <c r="M121">
        <v>1</v>
      </c>
      <c r="N121">
        <v>0</v>
      </c>
      <c r="O121">
        <v>0</v>
      </c>
      <c r="P121" t="str">
        <f ca="1" t="shared" si="26"/>
        <v>22329 0 1 0 0</v>
      </c>
      <c r="R121">
        <v>0</v>
      </c>
      <c r="S121">
        <v>0</v>
      </c>
      <c r="T121">
        <v>1</v>
      </c>
      <c r="U121">
        <v>0</v>
      </c>
      <c r="V121" t="str">
        <f ca="1" t="shared" si="27"/>
        <v>22329 0 0 1 0</v>
      </c>
    </row>
    <row r="122" spans="3:22">
      <c r="C122">
        <v>2967</v>
      </c>
      <c r="D122">
        <f ca="1" t="shared" si="28"/>
        <v>22558</v>
      </c>
      <c r="E122" cm="1">
        <f ca="1" t="array" ref="E122">INDEX(C:C,MATCH(MIN(ABS(C:C-D122)),ABS(C:C-D122),0))</f>
        <v>22560</v>
      </c>
      <c r="F122">
        <f t="shared" si="29"/>
        <v>6</v>
      </c>
      <c r="G122">
        <f ca="1" t="shared" si="23"/>
        <v>231</v>
      </c>
      <c r="H122">
        <f ca="1" t="shared" si="16"/>
        <v>0.686409516032231</v>
      </c>
      <c r="I122">
        <f ca="1" t="shared" si="17"/>
        <v>0.6704959341903</v>
      </c>
      <c r="J122">
        <f ca="1" t="shared" si="18"/>
        <v>0.490239333453586</v>
      </c>
      <c r="K122">
        <f ca="1" t="shared" si="19"/>
        <v>0.208411707187632</v>
      </c>
      <c r="L122" cm="1">
        <f ca="1" t="array" ref="L122:O122">_xlfn.SORTBY($R$4:$U$4,H122:K122)</f>
        <v>1</v>
      </c>
      <c r="M122">
        <v>0</v>
      </c>
      <c r="N122">
        <v>0</v>
      </c>
      <c r="O122">
        <v>0</v>
      </c>
      <c r="P122" t="str">
        <f ca="1" t="shared" si="26"/>
        <v>22560 1 0 0 0</v>
      </c>
      <c r="R122">
        <v>1</v>
      </c>
      <c r="S122">
        <v>0</v>
      </c>
      <c r="T122">
        <v>0</v>
      </c>
      <c r="U122">
        <v>0</v>
      </c>
      <c r="V122" t="str">
        <f ca="1" t="shared" si="27"/>
        <v>22560 1 0 0 0</v>
      </c>
    </row>
    <row r="123" spans="3:22">
      <c r="C123">
        <v>2990</v>
      </c>
      <c r="D123">
        <f ca="1" t="shared" si="28"/>
        <v>22789</v>
      </c>
      <c r="E123" cm="1">
        <f ca="1" t="array" ref="E123">INDEX(C:C,MATCH(MIN(ABS(C:C-D123)),ABS(C:C-D123),0))</f>
        <v>22790</v>
      </c>
      <c r="F123">
        <f t="shared" si="29"/>
        <v>6</v>
      </c>
      <c r="G123">
        <f ca="1" t="shared" si="23"/>
        <v>230</v>
      </c>
      <c r="H123">
        <f ca="1" t="shared" si="16"/>
        <v>0.813598973343338</v>
      </c>
      <c r="I123">
        <f ca="1" t="shared" si="17"/>
        <v>0.838223958635156</v>
      </c>
      <c r="J123">
        <f ca="1" t="shared" si="18"/>
        <v>0.853275159736719</v>
      </c>
      <c r="K123">
        <f ca="1" t="shared" si="19"/>
        <v>0.249869544168879</v>
      </c>
      <c r="L123" cm="1">
        <f ca="1" t="array" ref="L123:O123">_xlfn.SORTBY($R$4:$U$4,H123:K123)</f>
        <v>1</v>
      </c>
      <c r="M123">
        <v>0</v>
      </c>
      <c r="N123">
        <v>0</v>
      </c>
      <c r="O123">
        <v>0</v>
      </c>
      <c r="P123" t="str">
        <f ca="1" t="shared" si="26"/>
        <v>22790 1 0 0 0</v>
      </c>
      <c r="R123">
        <v>1</v>
      </c>
      <c r="S123">
        <v>0</v>
      </c>
      <c r="T123">
        <v>0</v>
      </c>
      <c r="U123">
        <v>0</v>
      </c>
      <c r="V123" t="str">
        <f ca="1" t="shared" si="27"/>
        <v>22790 1 0 0 0</v>
      </c>
    </row>
    <row r="124" spans="3:22">
      <c r="C124">
        <v>3013</v>
      </c>
      <c r="D124">
        <f ca="1" t="shared" si="28"/>
        <v>22905</v>
      </c>
      <c r="E124" cm="1">
        <f ca="1" t="array" ref="E124">INDEX(C:C,MATCH(MIN(ABS(C:C-D124)),ABS(C:C-D124),0))</f>
        <v>22906</v>
      </c>
      <c r="F124">
        <f t="shared" si="29"/>
        <v>6</v>
      </c>
      <c r="G124">
        <f ca="1" t="shared" si="23"/>
        <v>116</v>
      </c>
      <c r="H124">
        <f ca="1" t="shared" si="16"/>
        <v>0.518417500581247</v>
      </c>
      <c r="I124">
        <f ca="1" t="shared" si="17"/>
        <v>0.823767314791659</v>
      </c>
      <c r="J124">
        <f ca="1" t="shared" si="18"/>
        <v>0.206219284102629</v>
      </c>
      <c r="K124">
        <f ca="1" t="shared" si="19"/>
        <v>0.0776444893996622</v>
      </c>
      <c r="L124" cm="1">
        <f ca="1" t="array" ref="L124:O124">_xlfn.SORTBY($R$4:$U$4,H124:K124)</f>
        <v>1</v>
      </c>
      <c r="M124">
        <v>0</v>
      </c>
      <c r="N124">
        <v>0</v>
      </c>
      <c r="O124">
        <v>0</v>
      </c>
      <c r="P124" t="str">
        <f ca="1" t="shared" si="26"/>
        <v>22906 1 0 0 0</v>
      </c>
      <c r="R124">
        <v>1</v>
      </c>
      <c r="S124">
        <v>0</v>
      </c>
      <c r="T124">
        <v>0</v>
      </c>
      <c r="U124">
        <v>0</v>
      </c>
      <c r="V124" t="str">
        <f ca="1" t="shared" si="27"/>
        <v>22906 1 0 0 0</v>
      </c>
    </row>
    <row r="125" spans="3:22">
      <c r="C125">
        <v>3037</v>
      </c>
      <c r="D125">
        <f ca="1" t="shared" si="28"/>
        <v>23135</v>
      </c>
      <c r="E125" cm="1">
        <f ca="1" t="array" ref="E125">INDEX(C:C,MATCH(MIN(ABS(C:C-D125)),ABS(C:C-D125),0))</f>
        <v>23137</v>
      </c>
      <c r="F125">
        <f t="shared" si="29"/>
        <v>6</v>
      </c>
      <c r="G125">
        <f ca="1" t="shared" si="23"/>
        <v>231</v>
      </c>
      <c r="H125">
        <f ca="1" t="shared" si="16"/>
        <v>0.206350126595153</v>
      </c>
      <c r="I125">
        <f ca="1" t="shared" si="17"/>
        <v>0.932870422715608</v>
      </c>
      <c r="J125">
        <f ca="1" t="shared" si="18"/>
        <v>0.67156883950547</v>
      </c>
      <c r="K125">
        <f ca="1" t="shared" si="19"/>
        <v>0.594769022324457</v>
      </c>
      <c r="L125" cm="1">
        <f ca="1" t="array" ref="L125:O125">_xlfn.SORTBY($R$4:$U$4,H125:K125)</f>
        <v>0</v>
      </c>
      <c r="M125">
        <v>1</v>
      </c>
      <c r="N125">
        <v>0</v>
      </c>
      <c r="O125">
        <v>0</v>
      </c>
      <c r="P125" t="str">
        <f ca="1" t="shared" si="26"/>
        <v>23137 0 1 0 0</v>
      </c>
      <c r="R125">
        <v>0</v>
      </c>
      <c r="S125">
        <v>0</v>
      </c>
      <c r="T125">
        <v>0</v>
      </c>
      <c r="U125">
        <v>1</v>
      </c>
      <c r="V125" t="str">
        <f ca="1" t="shared" si="27"/>
        <v>23137 0 0 0 1</v>
      </c>
    </row>
    <row r="126" spans="3:22">
      <c r="C126">
        <v>3060</v>
      </c>
      <c r="D126">
        <f ca="1" t="shared" si="28"/>
        <v>23251</v>
      </c>
      <c r="E126" cm="1">
        <f ca="1" t="array" ref="E126">INDEX(C:C,MATCH(MIN(ABS(C:C-D126)),ABS(C:C-D126),0))</f>
        <v>23252</v>
      </c>
      <c r="F126">
        <f t="shared" si="29"/>
        <v>6</v>
      </c>
      <c r="G126">
        <f ca="1" t="shared" si="23"/>
        <v>115</v>
      </c>
      <c r="H126">
        <f ca="1" t="shared" si="16"/>
        <v>0.83225462544666</v>
      </c>
      <c r="I126">
        <f ca="1" t="shared" si="17"/>
        <v>0.798080381318455</v>
      </c>
      <c r="J126">
        <f ca="1" t="shared" si="18"/>
        <v>0.507807161482705</v>
      </c>
      <c r="K126">
        <f ca="1" t="shared" si="19"/>
        <v>0.141290105387397</v>
      </c>
      <c r="L126" cm="1">
        <f ca="1" t="array" ref="L126:O126">_xlfn.SORTBY($R$4:$U$4,H126:K126)</f>
        <v>1</v>
      </c>
      <c r="M126">
        <v>0</v>
      </c>
      <c r="N126">
        <v>0</v>
      </c>
      <c r="O126">
        <v>0</v>
      </c>
      <c r="P126" t="str">
        <f ca="1" t="shared" si="26"/>
        <v>23252 1 0 0 0</v>
      </c>
      <c r="R126">
        <v>0</v>
      </c>
      <c r="S126">
        <v>1</v>
      </c>
      <c r="T126">
        <v>0</v>
      </c>
      <c r="U126">
        <v>0</v>
      </c>
      <c r="V126" t="str">
        <f ca="1" t="shared" si="27"/>
        <v>23252 0 1 0 0</v>
      </c>
    </row>
    <row r="127" spans="3:22">
      <c r="C127">
        <v>3083</v>
      </c>
      <c r="D127">
        <f ca="1" t="shared" si="28"/>
        <v>23482</v>
      </c>
      <c r="E127" cm="1">
        <f ca="1" t="array" ref="E127">INDEX(C:C,MATCH(MIN(ABS(C:C-D127)),ABS(C:C-D127),0))</f>
        <v>23483</v>
      </c>
      <c r="F127">
        <f t="shared" si="29"/>
        <v>6</v>
      </c>
      <c r="G127">
        <f ca="1" t="shared" si="23"/>
        <v>231</v>
      </c>
      <c r="H127">
        <f ca="1" t="shared" si="16"/>
        <v>0.869035024061035</v>
      </c>
      <c r="I127">
        <f ca="1" t="shared" si="17"/>
        <v>0.63110108405019</v>
      </c>
      <c r="J127">
        <f ca="1" t="shared" si="18"/>
        <v>0.877512586939807</v>
      </c>
      <c r="K127">
        <f ca="1" t="shared" si="19"/>
        <v>0.272799243185154</v>
      </c>
      <c r="L127" cm="1">
        <f ca="1" t="array" ref="L127:O127">_xlfn.SORTBY($R$4:$U$4,H127:K127)</f>
        <v>1</v>
      </c>
      <c r="M127">
        <v>0</v>
      </c>
      <c r="N127">
        <v>0</v>
      </c>
      <c r="O127">
        <v>0</v>
      </c>
      <c r="P127" t="str">
        <f ca="1" t="shared" si="26"/>
        <v>23483 1 0 0 0</v>
      </c>
      <c r="R127">
        <v>0</v>
      </c>
      <c r="S127">
        <v>0</v>
      </c>
      <c r="T127">
        <v>0</v>
      </c>
      <c r="U127">
        <v>1</v>
      </c>
      <c r="V127" t="str">
        <f ca="1" t="shared" si="27"/>
        <v>23483 0 0 0 1</v>
      </c>
    </row>
    <row r="128" spans="3:22">
      <c r="C128">
        <v>3106</v>
      </c>
      <c r="D128">
        <f ca="1" t="shared" si="28"/>
        <v>23597</v>
      </c>
      <c r="E128" cm="1">
        <f ca="1" t="array" ref="E128">INDEX(C:C,MATCH(MIN(ABS(C:C-D128)),ABS(C:C-D128),0))</f>
        <v>23598</v>
      </c>
      <c r="F128">
        <f t="shared" si="29"/>
        <v>6</v>
      </c>
      <c r="G128">
        <f ca="1" t="shared" si="23"/>
        <v>115</v>
      </c>
      <c r="H128">
        <f ca="1" t="shared" si="16"/>
        <v>0.679207386153904</v>
      </c>
      <c r="I128">
        <f ca="1" t="shared" si="17"/>
        <v>0.285669366093809</v>
      </c>
      <c r="J128">
        <f ca="1" t="shared" si="18"/>
        <v>0.574643908189645</v>
      </c>
      <c r="K128">
        <f ca="1" t="shared" si="19"/>
        <v>0.927795230462351</v>
      </c>
      <c r="L128" cm="1">
        <f ca="1" t="array" ref="L128:O128">_xlfn.SORTBY($R$4:$U$4,H128:K128)</f>
        <v>0</v>
      </c>
      <c r="M128">
        <v>0</v>
      </c>
      <c r="N128">
        <v>0</v>
      </c>
      <c r="O128">
        <v>1</v>
      </c>
      <c r="P128" t="str">
        <f ca="1" t="shared" si="26"/>
        <v>23598 0 0 0 1</v>
      </c>
      <c r="R128">
        <v>0</v>
      </c>
      <c r="S128">
        <v>1</v>
      </c>
      <c r="T128">
        <v>0</v>
      </c>
      <c r="U128">
        <v>0</v>
      </c>
      <c r="V128" t="str">
        <f ca="1" t="shared" si="27"/>
        <v>23598 0 1 0 0</v>
      </c>
    </row>
    <row r="129" spans="3:22">
      <c r="C129">
        <v>3129</v>
      </c>
      <c r="D129">
        <f ca="1" t="shared" si="28"/>
        <v>23828</v>
      </c>
      <c r="E129" cm="1">
        <f ca="1" t="array" ref="E129">INDEX(C:C,MATCH(MIN(ABS(C:C-D129)),ABS(C:C-D129),0))</f>
        <v>23829</v>
      </c>
      <c r="F129">
        <f t="shared" si="29"/>
        <v>6</v>
      </c>
      <c r="G129">
        <f ca="1" t="shared" si="23"/>
        <v>231</v>
      </c>
      <c r="H129">
        <f ca="1" t="shared" si="16"/>
        <v>0.248017183883144</v>
      </c>
      <c r="I129">
        <f ca="1" t="shared" si="17"/>
        <v>0.79699611134059</v>
      </c>
      <c r="J129">
        <f ca="1" t="shared" si="18"/>
        <v>0.134081415189421</v>
      </c>
      <c r="K129">
        <f ca="1" t="shared" si="19"/>
        <v>0.988882851958236</v>
      </c>
      <c r="L129" cm="1">
        <f ca="1" t="array" ref="L129:O129">_xlfn.SORTBY($R$4:$U$4,H129:K129)</f>
        <v>0</v>
      </c>
      <c r="M129">
        <v>0</v>
      </c>
      <c r="N129">
        <v>0</v>
      </c>
      <c r="O129">
        <v>1</v>
      </c>
      <c r="P129" t="str">
        <f ca="1" t="shared" si="26"/>
        <v>23829 0 0 0 1</v>
      </c>
      <c r="R129">
        <v>0</v>
      </c>
      <c r="S129">
        <v>1</v>
      </c>
      <c r="T129">
        <v>0</v>
      </c>
      <c r="U129">
        <v>0</v>
      </c>
      <c r="V129" t="str">
        <f ca="1" t="shared" si="27"/>
        <v>23829 0 1 0 0</v>
      </c>
    </row>
    <row r="130" spans="3:22">
      <c r="C130">
        <v>3152</v>
      </c>
      <c r="D130">
        <f ca="1" t="shared" si="28"/>
        <v>23943</v>
      </c>
      <c r="E130" cm="1">
        <f ca="1" t="array" ref="E130">INDEX(C:C,MATCH(MIN(ABS(C:C-D130)),ABS(C:C-D130),0))</f>
        <v>23944</v>
      </c>
      <c r="F130">
        <f t="shared" si="29"/>
        <v>6</v>
      </c>
      <c r="G130">
        <f ca="1" t="shared" si="23"/>
        <v>115</v>
      </c>
      <c r="H130">
        <f ca="1" t="shared" si="16"/>
        <v>0.484326193188152</v>
      </c>
      <c r="I130">
        <f ca="1" t="shared" si="17"/>
        <v>0.14159426956518</v>
      </c>
      <c r="J130">
        <f ca="1" t="shared" si="18"/>
        <v>0.711842001082199</v>
      </c>
      <c r="K130">
        <f ca="1" t="shared" si="19"/>
        <v>0.50260469925022</v>
      </c>
      <c r="L130" cm="1">
        <f ca="1" t="array" ref="L130:O130">_xlfn.SORTBY($R$4:$U$4,H130:K130)</f>
        <v>0</v>
      </c>
      <c r="M130">
        <v>0</v>
      </c>
      <c r="N130">
        <v>1</v>
      </c>
      <c r="O130">
        <v>0</v>
      </c>
      <c r="P130" t="str">
        <f ca="1" t="shared" si="26"/>
        <v>23944 0 0 1 0</v>
      </c>
      <c r="R130">
        <v>0</v>
      </c>
      <c r="S130">
        <v>0</v>
      </c>
      <c r="T130">
        <v>0</v>
      </c>
      <c r="U130">
        <v>1</v>
      </c>
      <c r="V130" t="str">
        <f ca="1" t="shared" si="27"/>
        <v>23944 0 0 0 1</v>
      </c>
    </row>
    <row r="131" spans="3:22">
      <c r="C131">
        <v>3175</v>
      </c>
      <c r="D131">
        <f ca="1" t="shared" si="28"/>
        <v>24174</v>
      </c>
      <c r="E131" cm="1">
        <f ca="1" t="array" ref="E131">INDEX(C:C,MATCH(MIN(ABS(C:C-D131)),ABS(C:C-D131),0))</f>
        <v>24175</v>
      </c>
      <c r="F131">
        <f t="shared" si="29"/>
        <v>6</v>
      </c>
      <c r="G131">
        <f ca="1" t="shared" ref="G131:G162" si="30">E131-E130</f>
        <v>231</v>
      </c>
      <c r="H131">
        <f ca="1" t="shared" si="16"/>
        <v>0.232023539012738</v>
      </c>
      <c r="I131">
        <f ca="1" t="shared" si="17"/>
        <v>0.552201720786682</v>
      </c>
      <c r="J131">
        <f ca="1" t="shared" si="18"/>
        <v>0.45945100017913</v>
      </c>
      <c r="K131">
        <f ca="1" t="shared" si="19"/>
        <v>0.637310094733625</v>
      </c>
      <c r="L131" cm="1">
        <f ca="1" t="array" ref="L131:O131">_xlfn.SORTBY($R$4:$U$4,H131:K131)</f>
        <v>0</v>
      </c>
      <c r="M131">
        <v>0</v>
      </c>
      <c r="N131">
        <v>0</v>
      </c>
      <c r="O131">
        <v>1</v>
      </c>
      <c r="P131" t="str">
        <f ca="1" t="shared" si="26"/>
        <v>24175 0 0 0 1</v>
      </c>
      <c r="R131">
        <v>1</v>
      </c>
      <c r="S131">
        <v>0</v>
      </c>
      <c r="T131">
        <v>0</v>
      </c>
      <c r="U131">
        <v>0</v>
      </c>
      <c r="V131" t="str">
        <f ca="1" t="shared" si="27"/>
        <v>24175 1 0 0 0</v>
      </c>
    </row>
    <row r="132" spans="3:22">
      <c r="C132">
        <v>3198</v>
      </c>
      <c r="D132">
        <f ca="1" t="shared" si="28"/>
        <v>24405</v>
      </c>
      <c r="E132" cm="1">
        <f ca="1" t="array" ref="E132">INDEX(C:C,MATCH(MIN(ABS(C:C-D132)),ABS(C:C-D132),0))</f>
        <v>24406</v>
      </c>
      <c r="F132">
        <f t="shared" si="29"/>
        <v>6</v>
      </c>
      <c r="G132">
        <f ca="1" t="shared" si="30"/>
        <v>231</v>
      </c>
      <c r="H132">
        <f ca="1" t="shared" si="16"/>
        <v>0.836391077417104</v>
      </c>
      <c r="I132">
        <f ca="1" t="shared" si="17"/>
        <v>0.450102877668063</v>
      </c>
      <c r="J132">
        <f ca="1" t="shared" si="18"/>
        <v>0.299905550419662</v>
      </c>
      <c r="K132">
        <f ca="1" t="shared" si="19"/>
        <v>0.887015658445635</v>
      </c>
      <c r="L132" cm="1">
        <f ca="1" t="array" ref="L132:O132">_xlfn.SORTBY($R$4:$U$4,H132:K132)</f>
        <v>0</v>
      </c>
      <c r="M132">
        <v>0</v>
      </c>
      <c r="N132">
        <v>0</v>
      </c>
      <c r="O132">
        <v>1</v>
      </c>
      <c r="P132" t="str">
        <f ca="1" t="shared" si="26"/>
        <v>24406 0 0 0 1</v>
      </c>
      <c r="R132">
        <v>0</v>
      </c>
      <c r="S132">
        <v>0</v>
      </c>
      <c r="T132">
        <v>1</v>
      </c>
      <c r="U132">
        <v>0</v>
      </c>
      <c r="V132" t="str">
        <f ca="1" t="shared" si="27"/>
        <v>24406 0 0 1 0</v>
      </c>
    </row>
    <row r="133" spans="3:22">
      <c r="C133">
        <v>3221</v>
      </c>
      <c r="D133">
        <f ca="1" t="shared" si="28"/>
        <v>24636</v>
      </c>
      <c r="E133" cm="1">
        <f ca="1" t="array" ref="E133">INDEX(C:C,MATCH(MIN(ABS(C:C-D133)),ABS(C:C-D133),0))</f>
        <v>24637</v>
      </c>
      <c r="F133">
        <f t="shared" si="29"/>
        <v>6</v>
      </c>
      <c r="G133">
        <f ca="1" t="shared" si="30"/>
        <v>231</v>
      </c>
      <c r="H133">
        <f ca="1" t="shared" si="16"/>
        <v>0.234227648839215</v>
      </c>
      <c r="I133">
        <f ca="1" t="shared" si="17"/>
        <v>0.915765424525619</v>
      </c>
      <c r="J133">
        <f ca="1" t="shared" si="18"/>
        <v>0.3433980680733</v>
      </c>
      <c r="K133">
        <f ca="1" t="shared" si="19"/>
        <v>0.911132619268941</v>
      </c>
      <c r="L133" cm="1">
        <f ca="1" t="array" ref="L133:O133">_xlfn.SORTBY($R$4:$U$4,H133:K133)</f>
        <v>0</v>
      </c>
      <c r="M133">
        <v>0</v>
      </c>
      <c r="N133">
        <v>1</v>
      </c>
      <c r="O133">
        <v>0</v>
      </c>
      <c r="P133" t="str">
        <f ca="1" t="shared" si="26"/>
        <v>24637 0 0 1 0</v>
      </c>
      <c r="R133">
        <v>0</v>
      </c>
      <c r="S133">
        <v>1</v>
      </c>
      <c r="T133">
        <v>0</v>
      </c>
      <c r="U133">
        <v>0</v>
      </c>
      <c r="V133" t="str">
        <f ca="1" t="shared" si="27"/>
        <v>24637 0 1 0 0</v>
      </c>
    </row>
    <row r="134" spans="3:22">
      <c r="C134">
        <v>3244</v>
      </c>
      <c r="D134">
        <f ca="1" t="shared" si="28"/>
        <v>24751</v>
      </c>
      <c r="E134" cm="1">
        <f ca="1" t="array" ref="E134">INDEX(C:C,MATCH(MIN(ABS(C:C-D134)),ABS(C:C-D134),0))</f>
        <v>24752</v>
      </c>
      <c r="F134">
        <f t="shared" si="29"/>
        <v>6</v>
      </c>
      <c r="G134">
        <f ca="1" t="shared" si="30"/>
        <v>115</v>
      </c>
      <c r="H134">
        <f ca="1" t="shared" si="16"/>
        <v>0.679746909840253</v>
      </c>
      <c r="I134">
        <f ca="1" t="shared" si="17"/>
        <v>0.919699330434749</v>
      </c>
      <c r="J134">
        <f ca="1" t="shared" si="18"/>
        <v>0.540458461006772</v>
      </c>
      <c r="K134">
        <f ca="1" t="shared" si="19"/>
        <v>0.0673933694217106</v>
      </c>
      <c r="L134" cm="1">
        <f ca="1" t="array" ref="L134:O134">_xlfn.SORTBY($R$4:$U$4,H134:K134)</f>
        <v>1</v>
      </c>
      <c r="M134">
        <v>0</v>
      </c>
      <c r="N134">
        <v>0</v>
      </c>
      <c r="O134">
        <v>0</v>
      </c>
      <c r="P134" t="str">
        <f ca="1" t="shared" si="26"/>
        <v>24752 1 0 0 0</v>
      </c>
      <c r="R134">
        <v>0</v>
      </c>
      <c r="S134">
        <v>0</v>
      </c>
      <c r="T134">
        <v>1</v>
      </c>
      <c r="U134">
        <v>0</v>
      </c>
      <c r="V134" t="str">
        <f ca="1" t="shared" si="27"/>
        <v>24752 0 0 1 0</v>
      </c>
    </row>
    <row r="135" spans="3:22">
      <c r="C135">
        <v>3267</v>
      </c>
      <c r="D135">
        <f ca="1" t="shared" si="28"/>
        <v>24982</v>
      </c>
      <c r="E135" cm="1">
        <f ca="1" t="array" ref="E135">INDEX(C:C,MATCH(MIN(ABS(C:C-D135)),ABS(C:C-D135),0))</f>
        <v>24983</v>
      </c>
      <c r="F135">
        <f t="shared" si="29"/>
        <v>6</v>
      </c>
      <c r="G135">
        <f ca="1" t="shared" si="30"/>
        <v>231</v>
      </c>
      <c r="H135">
        <f ca="1" t="shared" si="16"/>
        <v>0.316030319148027</v>
      </c>
      <c r="I135">
        <f ca="1" t="shared" si="17"/>
        <v>0.99334612024729</v>
      </c>
      <c r="J135">
        <f ca="1" t="shared" si="18"/>
        <v>0.133654756088281</v>
      </c>
      <c r="K135">
        <f ca="1" t="shared" si="19"/>
        <v>0.577422376482299</v>
      </c>
      <c r="L135" cm="1">
        <f ca="1" t="array" ref="L135:O135">_xlfn.SORTBY($R$4:$U$4,H135:K135)</f>
        <v>0</v>
      </c>
      <c r="M135">
        <v>0</v>
      </c>
      <c r="N135">
        <v>1</v>
      </c>
      <c r="O135">
        <v>0</v>
      </c>
      <c r="P135" t="str">
        <f ca="1" t="shared" si="26"/>
        <v>24983 0 0 1 0</v>
      </c>
      <c r="R135">
        <v>1</v>
      </c>
      <c r="S135">
        <v>0</v>
      </c>
      <c r="T135">
        <v>0</v>
      </c>
      <c r="U135">
        <v>0</v>
      </c>
      <c r="V135" t="str">
        <f ca="1" t="shared" si="27"/>
        <v>24983 1 0 0 0</v>
      </c>
    </row>
    <row r="136" spans="3:22">
      <c r="C136">
        <v>3290</v>
      </c>
      <c r="D136">
        <f ca="1" t="shared" si="28"/>
        <v>25097</v>
      </c>
      <c r="E136" cm="1">
        <f ca="1" t="array" ref="E136">INDEX(C:C,MATCH(MIN(ABS(C:C-D136)),ABS(C:C-D136),0))</f>
        <v>25098</v>
      </c>
      <c r="F136">
        <f t="shared" si="29"/>
        <v>6</v>
      </c>
      <c r="G136">
        <f ca="1" t="shared" si="30"/>
        <v>115</v>
      </c>
      <c r="H136">
        <f ca="1" t="shared" si="16"/>
        <v>0.500681976577055</v>
      </c>
      <c r="I136">
        <f ca="1" t="shared" si="17"/>
        <v>0.105607075342444</v>
      </c>
      <c r="J136">
        <f ca="1" t="shared" si="18"/>
        <v>0.00567009860014966</v>
      </c>
      <c r="K136">
        <f ca="1" t="shared" si="19"/>
        <v>0.382268432352895</v>
      </c>
      <c r="L136" cm="1">
        <f ca="1" t="array" ref="L136:O136">_xlfn.SORTBY($R$4:$U$4,H136:K136)</f>
        <v>0</v>
      </c>
      <c r="M136">
        <v>0</v>
      </c>
      <c r="N136">
        <v>1</v>
      </c>
      <c r="O136">
        <v>0</v>
      </c>
      <c r="P136" t="str">
        <f ca="1" t="shared" si="26"/>
        <v>25098 0 0 1 0</v>
      </c>
      <c r="R136">
        <v>0</v>
      </c>
      <c r="S136">
        <v>1</v>
      </c>
      <c r="T136">
        <v>0</v>
      </c>
      <c r="U136">
        <v>0</v>
      </c>
      <c r="V136" t="str">
        <f ca="1" t="shared" si="27"/>
        <v>25098 0 1 0 0</v>
      </c>
    </row>
    <row r="137" spans="3:22">
      <c r="C137">
        <v>3313</v>
      </c>
      <c r="D137">
        <f ca="1" t="shared" si="28"/>
        <v>25328</v>
      </c>
      <c r="E137" cm="1">
        <f ca="1" t="array" ref="E137">INDEX(C:C,MATCH(MIN(ABS(C:C-D137)),ABS(C:C-D137),0))</f>
        <v>25329</v>
      </c>
      <c r="F137">
        <f t="shared" si="29"/>
        <v>6</v>
      </c>
      <c r="G137">
        <f ca="1" t="shared" si="30"/>
        <v>231</v>
      </c>
      <c r="H137">
        <f ca="1" t="shared" si="16"/>
        <v>0.730881377332503</v>
      </c>
      <c r="I137">
        <f ca="1" t="shared" si="17"/>
        <v>0.996846563790991</v>
      </c>
      <c r="J137">
        <f ca="1" t="shared" si="18"/>
        <v>0.725986296557231</v>
      </c>
      <c r="K137">
        <f ca="1" t="shared" si="19"/>
        <v>0.881897165779909</v>
      </c>
      <c r="L137" cm="1">
        <f ca="1" t="array" ref="L137:O137">_xlfn.SORTBY($R$4:$U$4,H137:K137)</f>
        <v>0</v>
      </c>
      <c r="M137">
        <v>0</v>
      </c>
      <c r="N137">
        <v>1</v>
      </c>
      <c r="O137">
        <v>0</v>
      </c>
      <c r="P137" t="str">
        <f ca="1" t="shared" si="26"/>
        <v>25329 0 0 1 0</v>
      </c>
      <c r="R137">
        <v>0</v>
      </c>
      <c r="S137">
        <v>0</v>
      </c>
      <c r="T137">
        <v>1</v>
      </c>
      <c r="U137">
        <v>0</v>
      </c>
      <c r="V137" t="str">
        <f ca="1" t="shared" si="27"/>
        <v>25329 0 0 1 0</v>
      </c>
    </row>
    <row r="138" spans="3:22">
      <c r="C138">
        <v>3337</v>
      </c>
      <c r="D138">
        <f ca="1" t="shared" si="28"/>
        <v>25443</v>
      </c>
      <c r="E138" cm="1">
        <f ca="1" t="array" ref="E138">INDEX(C:C,MATCH(MIN(ABS(C:C-D138)),ABS(C:C-D138),0))</f>
        <v>25444</v>
      </c>
      <c r="F138">
        <f t="shared" si="29"/>
        <v>6</v>
      </c>
      <c r="G138">
        <f ca="1" t="shared" si="30"/>
        <v>115</v>
      </c>
      <c r="H138">
        <f ca="1" t="shared" si="16"/>
        <v>0.943500609921581</v>
      </c>
      <c r="I138">
        <f ca="1" t="shared" si="17"/>
        <v>0.405016752087618</v>
      </c>
      <c r="J138">
        <f ca="1" t="shared" si="18"/>
        <v>0.37966789486804</v>
      </c>
      <c r="K138">
        <f ca="1" t="shared" si="19"/>
        <v>0.0541433428561249</v>
      </c>
      <c r="L138" cm="1">
        <f ca="1" t="array" ref="L138:O138">_xlfn.SORTBY($R$4:$U$4,H138:K138)</f>
        <v>1</v>
      </c>
      <c r="M138">
        <v>0</v>
      </c>
      <c r="N138">
        <v>0</v>
      </c>
      <c r="O138">
        <v>0</v>
      </c>
      <c r="P138" t="str">
        <f ca="1" t="shared" si="26"/>
        <v>25444 1 0 0 0</v>
      </c>
      <c r="R138">
        <v>0</v>
      </c>
      <c r="S138">
        <v>1</v>
      </c>
      <c r="T138">
        <v>0</v>
      </c>
      <c r="U138">
        <v>0</v>
      </c>
      <c r="V138" t="str">
        <f ca="1" t="shared" si="27"/>
        <v>25444 0 1 0 0</v>
      </c>
    </row>
    <row r="139" spans="3:22">
      <c r="C139">
        <v>3360</v>
      </c>
      <c r="D139">
        <f ca="1" t="shared" si="28"/>
        <v>25674</v>
      </c>
      <c r="E139" cm="1">
        <f ca="1" t="array" ref="E139">INDEX(C:C,MATCH(MIN(ABS(C:C-D139)),ABS(C:C-D139),0))</f>
        <v>25675</v>
      </c>
      <c r="F139">
        <f t="shared" si="29"/>
        <v>6</v>
      </c>
      <c r="G139">
        <f ca="1" t="shared" si="30"/>
        <v>231</v>
      </c>
      <c r="H139">
        <f ca="1" t="shared" si="16"/>
        <v>0.407007280225105</v>
      </c>
      <c r="I139">
        <f ca="1" t="shared" si="17"/>
        <v>0.63537168345982</v>
      </c>
      <c r="J139">
        <f ca="1" t="shared" si="18"/>
        <v>0.0625669567856133</v>
      </c>
      <c r="K139">
        <f ca="1" t="shared" si="19"/>
        <v>0.351939106545154</v>
      </c>
      <c r="L139" cm="1">
        <f ca="1" t="array" ref="L139:O139">_xlfn.SORTBY($R$4:$U$4,H139:K139)</f>
        <v>0</v>
      </c>
      <c r="M139">
        <v>1</v>
      </c>
      <c r="N139">
        <v>0</v>
      </c>
      <c r="O139">
        <v>0</v>
      </c>
      <c r="P139" t="str">
        <f ca="1" t="shared" si="26"/>
        <v>25675 0 1 0 0</v>
      </c>
      <c r="R139">
        <v>0</v>
      </c>
      <c r="S139">
        <v>0</v>
      </c>
      <c r="T139">
        <v>1</v>
      </c>
      <c r="U139">
        <v>0</v>
      </c>
      <c r="V139" t="str">
        <f ca="1" t="shared" si="27"/>
        <v>25675 0 0 1 0</v>
      </c>
    </row>
    <row r="140" spans="3:22">
      <c r="C140">
        <v>3383</v>
      </c>
      <c r="D140">
        <f ca="1" t="shared" si="28"/>
        <v>25789</v>
      </c>
      <c r="E140" cm="1">
        <f ca="1" t="array" ref="E140">INDEX(C:C,MATCH(MIN(ABS(C:C-D140)),ABS(C:C-D140),0))</f>
        <v>25790</v>
      </c>
      <c r="F140">
        <f t="shared" si="29"/>
        <v>6</v>
      </c>
      <c r="G140">
        <f ca="1" t="shared" si="30"/>
        <v>115</v>
      </c>
      <c r="H140">
        <f ca="1" t="shared" si="16"/>
        <v>0.644990003767403</v>
      </c>
      <c r="I140">
        <f ca="1" t="shared" si="17"/>
        <v>0.172477352713371</v>
      </c>
      <c r="J140">
        <f ca="1" t="shared" si="18"/>
        <v>0.36172421258083</v>
      </c>
      <c r="K140">
        <f ca="1" t="shared" si="19"/>
        <v>0.993937425364263</v>
      </c>
      <c r="L140" cm="1">
        <f ca="1" t="array" ref="L140:O140">_xlfn.SORTBY($R$4:$U$4,H140:K140)</f>
        <v>0</v>
      </c>
      <c r="M140">
        <v>0</v>
      </c>
      <c r="N140">
        <v>0</v>
      </c>
      <c r="O140">
        <v>1</v>
      </c>
      <c r="P140" t="str">
        <f ca="1" t="shared" si="26"/>
        <v>25790 0 0 0 1</v>
      </c>
      <c r="R140">
        <v>0</v>
      </c>
      <c r="S140">
        <v>1</v>
      </c>
      <c r="T140">
        <v>0</v>
      </c>
      <c r="U140">
        <v>0</v>
      </c>
      <c r="V140" t="str">
        <f ca="1" t="shared" si="27"/>
        <v>25790 0 1 0 0</v>
      </c>
    </row>
    <row r="141" spans="3:22">
      <c r="C141">
        <v>3406</v>
      </c>
      <c r="D141">
        <f ca="1" t="shared" ref="D141:D160" si="31">B$1+OFFSET(D141,-20,0,1,1)</f>
        <v>26020</v>
      </c>
      <c r="E141" cm="1">
        <f ca="1" t="array" ref="E141">INDEX(C:C,MATCH(MIN(ABS(C:C-D141)),ABS(C:C-D141),0))</f>
        <v>26021</v>
      </c>
      <c r="F141">
        <f t="shared" si="29"/>
        <v>7</v>
      </c>
      <c r="G141">
        <f ca="1" t="shared" si="30"/>
        <v>231</v>
      </c>
      <c r="H141">
        <f ca="1" t="shared" si="16"/>
        <v>0.880625337582972</v>
      </c>
      <c r="I141">
        <f ca="1" t="shared" si="17"/>
        <v>0.917570859364829</v>
      </c>
      <c r="J141">
        <f ca="1" t="shared" si="18"/>
        <v>0.612616478367978</v>
      </c>
      <c r="K141">
        <f ca="1" t="shared" si="19"/>
        <v>0.267504643005972</v>
      </c>
      <c r="L141" cm="1">
        <f ca="1" t="array" ref="L141:O141">_xlfn.SORTBY($R$4:$U$4,H141:K141)</f>
        <v>1</v>
      </c>
      <c r="M141">
        <v>0</v>
      </c>
      <c r="N141">
        <v>0</v>
      </c>
      <c r="O141">
        <v>0</v>
      </c>
      <c r="P141" t="str">
        <f ca="1" t="shared" si="26"/>
        <v>26021 1 0 0 0</v>
      </c>
      <c r="R141">
        <v>0</v>
      </c>
      <c r="S141">
        <v>0</v>
      </c>
      <c r="T141">
        <v>0</v>
      </c>
      <c r="U141">
        <v>1</v>
      </c>
      <c r="V141" t="str">
        <f ca="1" t="shared" si="27"/>
        <v>26021 0 0 0 1</v>
      </c>
    </row>
    <row r="142" spans="3:22">
      <c r="C142">
        <v>3429</v>
      </c>
      <c r="D142">
        <f ca="1" t="shared" si="31"/>
        <v>26250</v>
      </c>
      <c r="E142" cm="1">
        <f ca="1" t="array" ref="E142">INDEX(C:C,MATCH(MIN(ABS(C:C-D142)),ABS(C:C-D142),0))</f>
        <v>26252</v>
      </c>
      <c r="F142">
        <f t="shared" si="29"/>
        <v>7</v>
      </c>
      <c r="G142">
        <f ca="1" t="shared" si="30"/>
        <v>231</v>
      </c>
      <c r="H142">
        <f ca="1" t="shared" si="16"/>
        <v>0.847614818979442</v>
      </c>
      <c r="I142">
        <f ca="1" t="shared" si="17"/>
        <v>0.742813620633665</v>
      </c>
      <c r="J142">
        <f ca="1" t="shared" si="18"/>
        <v>0.337715303140177</v>
      </c>
      <c r="K142">
        <f ca="1" t="shared" si="19"/>
        <v>0.730927514023275</v>
      </c>
      <c r="L142" cm="1">
        <f ca="1" t="array" ref="L142:O142">_xlfn.SORTBY($R$4:$U$4,H142:K142)</f>
        <v>0</v>
      </c>
      <c r="M142">
        <v>1</v>
      </c>
      <c r="N142">
        <v>0</v>
      </c>
      <c r="O142">
        <v>0</v>
      </c>
      <c r="P142" t="str">
        <f ca="1" t="shared" si="26"/>
        <v>26252 0 1 0 0</v>
      </c>
      <c r="R142">
        <v>0</v>
      </c>
      <c r="S142">
        <v>0</v>
      </c>
      <c r="T142">
        <v>1</v>
      </c>
      <c r="U142">
        <v>0</v>
      </c>
      <c r="V142" t="str">
        <f ca="1" t="shared" si="27"/>
        <v>26252 0 0 1 0</v>
      </c>
    </row>
    <row r="143" spans="3:22">
      <c r="C143">
        <v>3452</v>
      </c>
      <c r="D143">
        <f ca="1" t="shared" si="31"/>
        <v>26481</v>
      </c>
      <c r="E143" cm="1">
        <f ca="1" t="array" ref="E143">INDEX(C:C,MATCH(MIN(ABS(C:C-D143)),ABS(C:C-D143),0))</f>
        <v>26483</v>
      </c>
      <c r="F143">
        <f t="shared" si="29"/>
        <v>7</v>
      </c>
      <c r="G143">
        <f ca="1" t="shared" si="30"/>
        <v>231</v>
      </c>
      <c r="H143">
        <f ca="1" t="shared" si="16"/>
        <v>0.540971407927744</v>
      </c>
      <c r="I143">
        <f ca="1" t="shared" si="17"/>
        <v>0.111250973403181</v>
      </c>
      <c r="J143">
        <f ca="1" t="shared" si="18"/>
        <v>0.164484702861994</v>
      </c>
      <c r="K143">
        <f ca="1" t="shared" si="19"/>
        <v>0.798032777136437</v>
      </c>
      <c r="L143" cm="1">
        <f ca="1" t="array" ref="L143:O143">_xlfn.SORTBY($R$4:$U$4,H143:K143)</f>
        <v>0</v>
      </c>
      <c r="M143">
        <v>0</v>
      </c>
      <c r="N143">
        <v>0</v>
      </c>
      <c r="O143">
        <v>1</v>
      </c>
      <c r="P143" t="str">
        <f ca="1" t="shared" si="26"/>
        <v>26483 0 0 0 1</v>
      </c>
      <c r="R143">
        <v>0</v>
      </c>
      <c r="S143">
        <v>1</v>
      </c>
      <c r="T143">
        <v>0</v>
      </c>
      <c r="U143">
        <v>0</v>
      </c>
      <c r="V143" t="str">
        <f ca="1" t="shared" si="27"/>
        <v>26483 0 1 0 0</v>
      </c>
    </row>
    <row r="144" spans="3:22">
      <c r="C144">
        <v>3475</v>
      </c>
      <c r="D144">
        <f ca="1" t="shared" si="31"/>
        <v>26597</v>
      </c>
      <c r="E144" cm="1">
        <f ca="1" t="array" ref="E144">INDEX(C:C,MATCH(MIN(ABS(C:C-D144)),ABS(C:C-D144),0))</f>
        <v>26598</v>
      </c>
      <c r="F144">
        <f t="shared" si="29"/>
        <v>7</v>
      </c>
      <c r="G144">
        <f ca="1" t="shared" si="30"/>
        <v>115</v>
      </c>
      <c r="H144">
        <f ca="1" t="shared" si="16"/>
        <v>0.43255890278678</v>
      </c>
      <c r="I144">
        <f ca="1" t="shared" si="17"/>
        <v>0.985958237818684</v>
      </c>
      <c r="J144">
        <f ca="1" t="shared" si="18"/>
        <v>0.101764195415515</v>
      </c>
      <c r="K144">
        <f ca="1" t="shared" si="19"/>
        <v>0.307425270433173</v>
      </c>
      <c r="L144" cm="1">
        <f ca="1" t="array" ref="L144:O144">_xlfn.SORTBY($R$4:$U$4,H144:K144)</f>
        <v>0</v>
      </c>
      <c r="M144">
        <v>1</v>
      </c>
      <c r="N144">
        <v>0</v>
      </c>
      <c r="O144">
        <v>0</v>
      </c>
      <c r="P144" t="str">
        <f ca="1" t="shared" si="26"/>
        <v>26598 0 1 0 0</v>
      </c>
      <c r="R144">
        <v>0</v>
      </c>
      <c r="S144">
        <v>0</v>
      </c>
      <c r="T144">
        <v>0</v>
      </c>
      <c r="U144">
        <v>1</v>
      </c>
      <c r="V144" t="str">
        <f ca="1" t="shared" si="27"/>
        <v>26598 0 0 0 1</v>
      </c>
    </row>
    <row r="145" spans="3:22">
      <c r="C145">
        <v>3498</v>
      </c>
      <c r="D145">
        <f ca="1" t="shared" si="31"/>
        <v>26827</v>
      </c>
      <c r="E145" cm="1">
        <f ca="1" t="array" ref="E145">INDEX(C:C,MATCH(MIN(ABS(C:C-D145)),ABS(C:C-D145),0))</f>
        <v>26829</v>
      </c>
      <c r="F145">
        <f t="shared" si="29"/>
        <v>7</v>
      </c>
      <c r="G145">
        <f ca="1" t="shared" si="30"/>
        <v>231</v>
      </c>
      <c r="H145">
        <f ca="1" t="shared" si="16"/>
        <v>0.959110460311583</v>
      </c>
      <c r="I145">
        <f ca="1" t="shared" si="17"/>
        <v>0.688793712830654</v>
      </c>
      <c r="J145">
        <f ca="1" t="shared" si="18"/>
        <v>0.989278105158522</v>
      </c>
      <c r="K145">
        <f ca="1" t="shared" si="19"/>
        <v>0.0083754554017923</v>
      </c>
      <c r="L145" cm="1">
        <f ca="1" t="array" ref="L145:O145">_xlfn.SORTBY($R$4:$U$4,H145:K145)</f>
        <v>1</v>
      </c>
      <c r="M145">
        <v>0</v>
      </c>
      <c r="N145">
        <v>0</v>
      </c>
      <c r="O145">
        <v>0</v>
      </c>
      <c r="P145" t="str">
        <f ca="1" t="shared" ref="P145:P160" si="32">E145&amp;" "&amp;L145&amp;" "&amp;M145&amp;" "&amp;N145&amp;" "&amp;O145</f>
        <v>26829 1 0 0 0</v>
      </c>
      <c r="R145">
        <v>0</v>
      </c>
      <c r="S145">
        <v>0</v>
      </c>
      <c r="T145">
        <v>0</v>
      </c>
      <c r="U145">
        <v>1</v>
      </c>
      <c r="V145" t="str">
        <f ca="1" t="shared" si="27"/>
        <v>26829 0 0 0 1</v>
      </c>
    </row>
    <row r="146" spans="3:22">
      <c r="C146">
        <v>3521</v>
      </c>
      <c r="D146">
        <f ca="1" t="shared" si="31"/>
        <v>26943</v>
      </c>
      <c r="E146" cm="1">
        <f ca="1" t="array" ref="E146">INDEX(C:C,MATCH(MIN(ABS(C:C-D146)),ABS(C:C-D146),0))</f>
        <v>26944</v>
      </c>
      <c r="F146">
        <f t="shared" si="29"/>
        <v>7</v>
      </c>
      <c r="G146">
        <f ca="1" t="shared" si="30"/>
        <v>115</v>
      </c>
      <c r="H146">
        <f ca="1" t="shared" si="16"/>
        <v>0.310734780768276</v>
      </c>
      <c r="I146">
        <f ca="1" t="shared" si="17"/>
        <v>0.300014783992138</v>
      </c>
      <c r="J146">
        <f ca="1" t="shared" si="18"/>
        <v>0.505482741559236</v>
      </c>
      <c r="K146">
        <f ca="1" t="shared" si="19"/>
        <v>0.982856145811257</v>
      </c>
      <c r="L146" cm="1">
        <f ca="1" t="array" ref="L146:O146">_xlfn.SORTBY($R$4:$U$4,H146:K146)</f>
        <v>0</v>
      </c>
      <c r="M146">
        <v>0</v>
      </c>
      <c r="N146">
        <v>0</v>
      </c>
      <c r="O146">
        <v>1</v>
      </c>
      <c r="P146" t="str">
        <f ca="1" t="shared" si="32"/>
        <v>26944 0 0 0 1</v>
      </c>
      <c r="R146">
        <v>0</v>
      </c>
      <c r="S146">
        <v>0</v>
      </c>
      <c r="T146">
        <v>0</v>
      </c>
      <c r="U146">
        <v>1</v>
      </c>
      <c r="V146" t="str">
        <f ca="1" t="shared" si="27"/>
        <v>26944 0 0 0 1</v>
      </c>
    </row>
    <row r="147" spans="3:22">
      <c r="C147">
        <v>3544</v>
      </c>
      <c r="D147">
        <f ca="1" t="shared" si="31"/>
        <v>27174</v>
      </c>
      <c r="E147" cm="1">
        <f ca="1" t="array" ref="E147">INDEX(C:C,MATCH(MIN(ABS(C:C-D147)),ABS(C:C-D147),0))</f>
        <v>27175</v>
      </c>
      <c r="F147">
        <f t="shared" si="29"/>
        <v>7</v>
      </c>
      <c r="G147">
        <f ca="1" t="shared" si="30"/>
        <v>231</v>
      </c>
      <c r="H147">
        <f ca="1" t="shared" si="16"/>
        <v>0.938203545026542</v>
      </c>
      <c r="I147">
        <f ca="1" t="shared" si="17"/>
        <v>0.880760759176594</v>
      </c>
      <c r="J147">
        <f ca="1" t="shared" si="18"/>
        <v>0.0198790668820374</v>
      </c>
      <c r="K147">
        <f ca="1" t="shared" si="19"/>
        <v>0.756126764227456</v>
      </c>
      <c r="L147" cm="1">
        <f ca="1" t="array" ref="L147:O147">_xlfn.SORTBY($R$4:$U$4,H147:K147)</f>
        <v>0</v>
      </c>
      <c r="M147">
        <v>1</v>
      </c>
      <c r="N147">
        <v>0</v>
      </c>
      <c r="O147">
        <v>0</v>
      </c>
      <c r="P147" t="str">
        <f ca="1" t="shared" si="32"/>
        <v>27175 0 1 0 0</v>
      </c>
      <c r="R147">
        <v>1</v>
      </c>
      <c r="S147">
        <v>0</v>
      </c>
      <c r="T147">
        <v>0</v>
      </c>
      <c r="U147">
        <v>0</v>
      </c>
      <c r="V147" t="str">
        <f ca="1" t="shared" si="27"/>
        <v>27175 1 0 0 0</v>
      </c>
    </row>
    <row r="148" spans="3:22">
      <c r="C148">
        <v>3567</v>
      </c>
      <c r="D148">
        <f ca="1" t="shared" si="31"/>
        <v>27289</v>
      </c>
      <c r="E148" cm="1">
        <f ca="1" t="array" ref="E148">INDEX(C:C,MATCH(MIN(ABS(C:C-D148)),ABS(C:C-D148),0))</f>
        <v>27290</v>
      </c>
      <c r="F148">
        <f t="shared" si="29"/>
        <v>7</v>
      </c>
      <c r="G148">
        <f ca="1" t="shared" si="30"/>
        <v>115</v>
      </c>
      <c r="H148">
        <f ca="1" t="shared" si="16"/>
        <v>0.606736281541008</v>
      </c>
      <c r="I148">
        <f ca="1" t="shared" si="17"/>
        <v>0.273087961028539</v>
      </c>
      <c r="J148">
        <f ca="1" t="shared" si="18"/>
        <v>0.191719920909477</v>
      </c>
      <c r="K148">
        <f ca="1" t="shared" si="19"/>
        <v>0.000823041439637073</v>
      </c>
      <c r="L148" cm="1">
        <f ca="1" t="array" ref="L148:O148">_xlfn.SORTBY($R$4:$U$4,H148:K148)</f>
        <v>1</v>
      </c>
      <c r="M148">
        <v>0</v>
      </c>
      <c r="N148">
        <v>0</v>
      </c>
      <c r="O148">
        <v>0</v>
      </c>
      <c r="P148" t="str">
        <f ca="1" t="shared" si="32"/>
        <v>27290 1 0 0 0</v>
      </c>
      <c r="R148">
        <v>0</v>
      </c>
      <c r="S148">
        <v>0</v>
      </c>
      <c r="T148">
        <v>0</v>
      </c>
      <c r="U148">
        <v>1</v>
      </c>
      <c r="V148" t="str">
        <f ca="1" t="shared" si="27"/>
        <v>27290 0 0 0 1</v>
      </c>
    </row>
    <row r="149" spans="3:22">
      <c r="C149">
        <v>3590</v>
      </c>
      <c r="D149">
        <f ca="1" t="shared" si="31"/>
        <v>27520</v>
      </c>
      <c r="E149" cm="1">
        <f ca="1" t="array" ref="E149">INDEX(C:C,MATCH(MIN(ABS(C:C-D149)),ABS(C:C-D149),0))</f>
        <v>27521</v>
      </c>
      <c r="F149">
        <f t="shared" si="29"/>
        <v>7</v>
      </c>
      <c r="G149">
        <f ca="1" t="shared" si="30"/>
        <v>231</v>
      </c>
      <c r="H149">
        <f ca="1" t="shared" si="16"/>
        <v>0.464716823253531</v>
      </c>
      <c r="I149">
        <f ca="1" t="shared" si="17"/>
        <v>0.219234115089806</v>
      </c>
      <c r="J149">
        <f ca="1" t="shared" si="18"/>
        <v>0.704746967394259</v>
      </c>
      <c r="K149">
        <f ca="1" t="shared" si="19"/>
        <v>0.00949600331463984</v>
      </c>
      <c r="L149" cm="1">
        <f ca="1" t="array" ref="L149:O149">_xlfn.SORTBY($R$4:$U$4,H149:K149)</f>
        <v>1</v>
      </c>
      <c r="M149">
        <v>0</v>
      </c>
      <c r="N149">
        <v>0</v>
      </c>
      <c r="O149">
        <v>0</v>
      </c>
      <c r="P149" t="str">
        <f ca="1" t="shared" si="32"/>
        <v>27521 1 0 0 0</v>
      </c>
      <c r="R149">
        <v>0</v>
      </c>
      <c r="S149">
        <v>0</v>
      </c>
      <c r="T149">
        <v>0</v>
      </c>
      <c r="U149">
        <v>1</v>
      </c>
      <c r="V149" t="str">
        <f ca="1" t="shared" si="27"/>
        <v>27521 0 0 0 1</v>
      </c>
    </row>
    <row r="150" spans="3:22">
      <c r="C150">
        <v>3613</v>
      </c>
      <c r="D150">
        <f ca="1" t="shared" si="31"/>
        <v>27635</v>
      </c>
      <c r="E150" cm="1">
        <f ca="1" t="array" ref="E150">INDEX(C:C,MATCH(MIN(ABS(C:C-D150)),ABS(C:C-D150),0))</f>
        <v>27637</v>
      </c>
      <c r="F150">
        <f t="shared" si="29"/>
        <v>7</v>
      </c>
      <c r="G150">
        <f ca="1" t="shared" si="30"/>
        <v>116</v>
      </c>
      <c r="H150">
        <f ca="1" t="shared" si="16"/>
        <v>0.848824589437684</v>
      </c>
      <c r="I150">
        <f ca="1" t="shared" si="17"/>
        <v>0.34490676861512</v>
      </c>
      <c r="J150">
        <f ca="1" t="shared" si="18"/>
        <v>0.763113974158763</v>
      </c>
      <c r="K150">
        <f ca="1" t="shared" si="19"/>
        <v>0.829151762162905</v>
      </c>
      <c r="L150" cm="1">
        <f ca="1" t="array" ref="L150:O150">_xlfn.SORTBY($R$4:$U$4,H150:K150)</f>
        <v>0</v>
      </c>
      <c r="M150">
        <v>0</v>
      </c>
      <c r="N150">
        <v>1</v>
      </c>
      <c r="O150">
        <v>0</v>
      </c>
      <c r="P150" t="str">
        <f ca="1" t="shared" si="32"/>
        <v>27637 0 0 1 0</v>
      </c>
      <c r="R150">
        <v>0</v>
      </c>
      <c r="S150">
        <v>0</v>
      </c>
      <c r="T150">
        <v>1</v>
      </c>
      <c r="U150">
        <v>0</v>
      </c>
      <c r="V150" t="str">
        <f ca="1" t="shared" si="27"/>
        <v>27637 0 0 1 0</v>
      </c>
    </row>
    <row r="151" spans="3:22">
      <c r="C151">
        <v>3637</v>
      </c>
      <c r="D151">
        <f ca="1" t="shared" si="31"/>
        <v>27866</v>
      </c>
      <c r="E151" cm="1">
        <f ca="1" t="array" ref="E151">INDEX(C:C,MATCH(MIN(ABS(C:C-D151)),ABS(C:C-D151),0))</f>
        <v>27867</v>
      </c>
      <c r="F151">
        <f t="shared" si="29"/>
        <v>7</v>
      </c>
      <c r="G151">
        <f ca="1" t="shared" si="30"/>
        <v>230</v>
      </c>
      <c r="H151">
        <f ca="1" t="shared" si="16"/>
        <v>0.475274357955749</v>
      </c>
      <c r="I151">
        <f ca="1" t="shared" si="17"/>
        <v>0.825739735249222</v>
      </c>
      <c r="J151">
        <f ca="1" t="shared" si="18"/>
        <v>0.0472510527964476</v>
      </c>
      <c r="K151">
        <f ca="1" t="shared" si="19"/>
        <v>0.455297079464169</v>
      </c>
      <c r="L151" cm="1">
        <f ca="1" t="array" ref="L151:O151">_xlfn.SORTBY($R$4:$U$4,H151:K151)</f>
        <v>0</v>
      </c>
      <c r="M151">
        <v>1</v>
      </c>
      <c r="N151">
        <v>0</v>
      </c>
      <c r="O151">
        <v>0</v>
      </c>
      <c r="P151" t="str">
        <f ca="1" t="shared" si="32"/>
        <v>27867 0 1 0 0</v>
      </c>
      <c r="R151">
        <v>0</v>
      </c>
      <c r="S151">
        <v>1</v>
      </c>
      <c r="T151">
        <v>0</v>
      </c>
      <c r="U151">
        <v>0</v>
      </c>
      <c r="V151" t="str">
        <f ca="1" t="shared" si="27"/>
        <v>27867 0 1 0 0</v>
      </c>
    </row>
    <row r="152" spans="3:22">
      <c r="C152">
        <v>3660</v>
      </c>
      <c r="D152">
        <f ca="1" t="shared" si="31"/>
        <v>28097</v>
      </c>
      <c r="E152" cm="1">
        <f ca="1" t="array" ref="E152">INDEX(C:C,MATCH(MIN(ABS(C:C-D152)),ABS(C:C-D152),0))</f>
        <v>28098</v>
      </c>
      <c r="F152">
        <f t="shared" si="29"/>
        <v>7</v>
      </c>
      <c r="G152">
        <f ca="1" t="shared" si="30"/>
        <v>231</v>
      </c>
      <c r="H152">
        <f ca="1" t="shared" si="16"/>
        <v>0.0581994290344616</v>
      </c>
      <c r="I152">
        <f ca="1" t="shared" si="17"/>
        <v>0.497036290720709</v>
      </c>
      <c r="J152">
        <f ca="1" t="shared" si="18"/>
        <v>0.813692496591038</v>
      </c>
      <c r="K152">
        <f ca="1" t="shared" si="19"/>
        <v>0.410066621691483</v>
      </c>
      <c r="L152" cm="1">
        <f ca="1" t="array" ref="L152:O152">_xlfn.SORTBY($R$4:$U$4,H152:K152)</f>
        <v>0</v>
      </c>
      <c r="M152">
        <v>1</v>
      </c>
      <c r="N152">
        <v>0</v>
      </c>
      <c r="O152">
        <v>0</v>
      </c>
      <c r="P152" t="str">
        <f ca="1" t="shared" si="32"/>
        <v>28098 0 1 0 0</v>
      </c>
      <c r="R152">
        <v>1</v>
      </c>
      <c r="S152">
        <v>0</v>
      </c>
      <c r="T152">
        <v>0</v>
      </c>
      <c r="U152">
        <v>0</v>
      </c>
      <c r="V152" t="str">
        <f ca="1" t="shared" si="27"/>
        <v>28098 1 0 0 0</v>
      </c>
    </row>
    <row r="153" spans="3:22">
      <c r="C153">
        <v>3683</v>
      </c>
      <c r="D153">
        <f ca="1" t="shared" si="31"/>
        <v>28328</v>
      </c>
      <c r="E153" cm="1">
        <f ca="1" t="array" ref="E153">INDEX(C:C,MATCH(MIN(ABS(C:C-D153)),ABS(C:C-D153),0))</f>
        <v>28329</v>
      </c>
      <c r="F153">
        <f t="shared" si="29"/>
        <v>7</v>
      </c>
      <c r="G153">
        <f ca="1" t="shared" si="30"/>
        <v>231</v>
      </c>
      <c r="H153">
        <f ca="1" t="shared" si="16"/>
        <v>0.512018684509546</v>
      </c>
      <c r="I153">
        <f ca="1" t="shared" si="17"/>
        <v>0.177638125659503</v>
      </c>
      <c r="J153">
        <f ca="1" t="shared" si="18"/>
        <v>0.00699670541581532</v>
      </c>
      <c r="K153">
        <f ca="1" t="shared" si="19"/>
        <v>0.869560396864618</v>
      </c>
      <c r="L153" cm="1">
        <f ca="1" t="array" ref="L153:O153">_xlfn.SORTBY($R$4:$U$4,H153:K153)</f>
        <v>0</v>
      </c>
      <c r="M153">
        <v>0</v>
      </c>
      <c r="N153">
        <v>0</v>
      </c>
      <c r="O153">
        <v>1</v>
      </c>
      <c r="P153" t="str">
        <f ca="1" t="shared" si="32"/>
        <v>28329 0 0 0 1</v>
      </c>
      <c r="R153">
        <v>1</v>
      </c>
      <c r="S153">
        <v>0</v>
      </c>
      <c r="T153">
        <v>0</v>
      </c>
      <c r="U153">
        <v>0</v>
      </c>
      <c r="V153" t="str">
        <f ca="1" t="shared" si="27"/>
        <v>28329 1 0 0 0</v>
      </c>
    </row>
    <row r="154" spans="3:22">
      <c r="C154">
        <v>3706</v>
      </c>
      <c r="D154">
        <f ca="1" t="shared" si="31"/>
        <v>28443</v>
      </c>
      <c r="E154" cm="1">
        <f ca="1" t="array" ref="E154">INDEX(C:C,MATCH(MIN(ABS(C:C-D154)),ABS(C:C-D154),0))</f>
        <v>28444</v>
      </c>
      <c r="F154">
        <f t="shared" si="29"/>
        <v>7</v>
      </c>
      <c r="G154">
        <f ca="1" t="shared" si="30"/>
        <v>115</v>
      </c>
      <c r="H154">
        <f ca="1" t="shared" si="16"/>
        <v>0.0383036268760832</v>
      </c>
      <c r="I154">
        <f ca="1" t="shared" si="17"/>
        <v>0.630559982242596</v>
      </c>
      <c r="J154">
        <f ca="1" t="shared" si="18"/>
        <v>0.0445984793676544</v>
      </c>
      <c r="K154">
        <f ca="1" t="shared" si="19"/>
        <v>0.093722265586258</v>
      </c>
      <c r="L154" cm="1">
        <f ca="1" t="array" ref="L154:O154">_xlfn.SORTBY($R$4:$U$4,H154:K154)</f>
        <v>0</v>
      </c>
      <c r="M154">
        <v>0</v>
      </c>
      <c r="N154">
        <v>1</v>
      </c>
      <c r="O154">
        <v>0</v>
      </c>
      <c r="P154" t="str">
        <f ca="1" t="shared" si="32"/>
        <v>28444 0 0 1 0</v>
      </c>
      <c r="R154">
        <v>1</v>
      </c>
      <c r="S154">
        <v>0</v>
      </c>
      <c r="T154">
        <v>0</v>
      </c>
      <c r="U154">
        <v>0</v>
      </c>
      <c r="V154" t="str">
        <f ca="1" t="shared" si="27"/>
        <v>28444 1 0 0 0</v>
      </c>
    </row>
    <row r="155" spans="3:22">
      <c r="C155">
        <v>3729</v>
      </c>
      <c r="D155">
        <f ca="1" t="shared" si="31"/>
        <v>28674</v>
      </c>
      <c r="E155" cm="1">
        <f ca="1" t="array" ref="E155">INDEX(C:C,MATCH(MIN(ABS(C:C-D155)),ABS(C:C-D155),0))</f>
        <v>28675</v>
      </c>
      <c r="F155">
        <f t="shared" si="29"/>
        <v>7</v>
      </c>
      <c r="G155">
        <f ca="1" t="shared" si="30"/>
        <v>231</v>
      </c>
      <c r="H155">
        <f ca="1" t="shared" si="16"/>
        <v>0.350708891793345</v>
      </c>
      <c r="I155">
        <f ca="1" t="shared" si="17"/>
        <v>0.150340403197946</v>
      </c>
      <c r="J155">
        <f ca="1" t="shared" si="18"/>
        <v>0.0729760364547083</v>
      </c>
      <c r="K155">
        <f ca="1" t="shared" si="19"/>
        <v>0.845720944848259</v>
      </c>
      <c r="L155" cm="1">
        <f ca="1" t="array" ref="L155:O155">_xlfn.SORTBY($R$4:$U$4,H155:K155)</f>
        <v>0</v>
      </c>
      <c r="M155">
        <v>0</v>
      </c>
      <c r="N155">
        <v>0</v>
      </c>
      <c r="O155">
        <v>1</v>
      </c>
      <c r="P155" t="str">
        <f ca="1" t="shared" si="32"/>
        <v>28675 0 0 0 1</v>
      </c>
      <c r="R155">
        <v>1</v>
      </c>
      <c r="S155">
        <v>0</v>
      </c>
      <c r="T155">
        <v>0</v>
      </c>
      <c r="U155">
        <v>0</v>
      </c>
      <c r="V155" t="str">
        <f ca="1" t="shared" si="27"/>
        <v>28675 1 0 0 0</v>
      </c>
    </row>
    <row r="156" spans="3:22">
      <c r="C156">
        <v>3752</v>
      </c>
      <c r="D156">
        <f ca="1" t="shared" si="31"/>
        <v>28789</v>
      </c>
      <c r="E156" cm="1">
        <f ca="1" t="array" ref="E156">INDEX(C:C,MATCH(MIN(ABS(C:C-D156)),ABS(C:C-D156),0))</f>
        <v>28790</v>
      </c>
      <c r="F156">
        <f t="shared" si="29"/>
        <v>7</v>
      </c>
      <c r="G156">
        <f ca="1" t="shared" si="30"/>
        <v>115</v>
      </c>
      <c r="H156">
        <f ca="1" t="shared" si="16"/>
        <v>0.588780803694271</v>
      </c>
      <c r="I156">
        <f ca="1" t="shared" si="17"/>
        <v>0.12638322137637</v>
      </c>
      <c r="J156">
        <f ca="1" t="shared" si="18"/>
        <v>0.280126058419038</v>
      </c>
      <c r="K156">
        <f ca="1" t="shared" si="19"/>
        <v>0.843028051673942</v>
      </c>
      <c r="L156" cm="1">
        <f ca="1" t="array" ref="L156:O156">_xlfn.SORTBY($R$4:$U$4,H156:K156)</f>
        <v>0</v>
      </c>
      <c r="M156">
        <v>0</v>
      </c>
      <c r="N156">
        <v>0</v>
      </c>
      <c r="O156">
        <v>1</v>
      </c>
      <c r="P156" t="str">
        <f ca="1" t="shared" si="32"/>
        <v>28790 0 0 0 1</v>
      </c>
      <c r="R156">
        <v>1</v>
      </c>
      <c r="S156">
        <v>0</v>
      </c>
      <c r="T156">
        <v>0</v>
      </c>
      <c r="U156">
        <v>0</v>
      </c>
      <c r="V156" t="str">
        <f ca="1" t="shared" si="27"/>
        <v>28790 1 0 0 0</v>
      </c>
    </row>
    <row r="157" spans="3:22">
      <c r="C157">
        <v>3775</v>
      </c>
      <c r="D157">
        <f ca="1" t="shared" si="31"/>
        <v>29020</v>
      </c>
      <c r="E157" cm="1">
        <f ca="1" t="array" ref="E157">INDEX(C:C,MATCH(MIN(ABS(C:C-D157)),ABS(C:C-D157),0))</f>
        <v>29021</v>
      </c>
      <c r="F157">
        <f t="shared" si="29"/>
        <v>7</v>
      </c>
      <c r="G157">
        <f ca="1" t="shared" si="30"/>
        <v>231</v>
      </c>
      <c r="H157">
        <f ca="1" t="shared" si="16"/>
        <v>0.285261769095293</v>
      </c>
      <c r="I157">
        <f ca="1" t="shared" si="17"/>
        <v>0.237393901144818</v>
      </c>
      <c r="J157">
        <f ca="1" t="shared" si="18"/>
        <v>0.30985935508559</v>
      </c>
      <c r="K157">
        <f ca="1" t="shared" si="19"/>
        <v>0.509967111562619</v>
      </c>
      <c r="L157" cm="1">
        <f ca="1" t="array" ref="L157:O157">_xlfn.SORTBY($R$4:$U$4,H157:K157)</f>
        <v>0</v>
      </c>
      <c r="M157">
        <v>0</v>
      </c>
      <c r="N157">
        <v>0</v>
      </c>
      <c r="O157">
        <v>1</v>
      </c>
      <c r="P157" t="str">
        <f ca="1" t="shared" si="32"/>
        <v>29021 0 0 0 1</v>
      </c>
      <c r="R157">
        <v>0</v>
      </c>
      <c r="S157">
        <v>1</v>
      </c>
      <c r="T157">
        <v>0</v>
      </c>
      <c r="U157">
        <v>0</v>
      </c>
      <c r="V157" t="str">
        <f ca="1" t="shared" si="27"/>
        <v>29021 0 1 0 0</v>
      </c>
    </row>
    <row r="158" spans="3:22">
      <c r="C158">
        <v>3798</v>
      </c>
      <c r="D158">
        <f ca="1" t="shared" si="31"/>
        <v>29135</v>
      </c>
      <c r="E158" cm="1">
        <f ca="1" t="array" ref="E158">INDEX(C:C,MATCH(MIN(ABS(C:C-D158)),ABS(C:C-D158),0))</f>
        <v>29137</v>
      </c>
      <c r="F158">
        <f t="shared" si="29"/>
        <v>7</v>
      </c>
      <c r="G158">
        <f ca="1" t="shared" si="30"/>
        <v>116</v>
      </c>
      <c r="H158">
        <f ca="1" t="shared" si="16"/>
        <v>0.0331149659304517</v>
      </c>
      <c r="I158">
        <f ca="1" t="shared" si="17"/>
        <v>0.490252741993429</v>
      </c>
      <c r="J158">
        <f ca="1" t="shared" si="18"/>
        <v>0.196847085444395</v>
      </c>
      <c r="K158">
        <f ca="1" t="shared" si="19"/>
        <v>0.745155212532065</v>
      </c>
      <c r="L158" cm="1">
        <f ca="1" t="array" ref="L158:O158">_xlfn.SORTBY($R$4:$U$4,H158:K158)</f>
        <v>0</v>
      </c>
      <c r="M158">
        <v>0</v>
      </c>
      <c r="N158">
        <v>0</v>
      </c>
      <c r="O158">
        <v>1</v>
      </c>
      <c r="P158" t="str">
        <f ca="1" t="shared" si="32"/>
        <v>29137 0 0 0 1</v>
      </c>
      <c r="R158">
        <v>0</v>
      </c>
      <c r="S158">
        <v>0</v>
      </c>
      <c r="T158">
        <v>1</v>
      </c>
      <c r="U158">
        <v>0</v>
      </c>
      <c r="V158" t="str">
        <f ca="1" t="shared" si="27"/>
        <v>29137 0 0 1 0</v>
      </c>
    </row>
    <row r="159" spans="3:22">
      <c r="C159">
        <v>3821</v>
      </c>
      <c r="D159">
        <f ca="1" t="shared" si="31"/>
        <v>29366</v>
      </c>
      <c r="E159" cm="1">
        <f ca="1" t="array" ref="E159">INDEX(C:C,MATCH(MIN(ABS(C:C-D159)),ABS(C:C-D159),0))</f>
        <v>29367</v>
      </c>
      <c r="F159">
        <f t="shared" si="29"/>
        <v>7</v>
      </c>
      <c r="G159">
        <f ca="1" t="shared" si="30"/>
        <v>230</v>
      </c>
      <c r="H159">
        <f ca="1" t="shared" si="16"/>
        <v>0.775912685657476</v>
      </c>
      <c r="I159">
        <f ca="1" t="shared" si="17"/>
        <v>0.427067706011489</v>
      </c>
      <c r="J159">
        <f ca="1" t="shared" si="18"/>
        <v>0.850267985785114</v>
      </c>
      <c r="K159">
        <f ca="1" t="shared" si="19"/>
        <v>0.261300127390199</v>
      </c>
      <c r="L159" cm="1">
        <f ca="1" t="array" ref="L159:O159">_xlfn.SORTBY($R$4:$U$4,H159:K159)</f>
        <v>1</v>
      </c>
      <c r="M159">
        <v>0</v>
      </c>
      <c r="N159">
        <v>0</v>
      </c>
      <c r="O159">
        <v>0</v>
      </c>
      <c r="P159" t="str">
        <f ca="1" t="shared" si="32"/>
        <v>29367 1 0 0 0</v>
      </c>
      <c r="R159">
        <v>0</v>
      </c>
      <c r="S159">
        <v>1</v>
      </c>
      <c r="T159">
        <v>0</v>
      </c>
      <c r="U159">
        <v>0</v>
      </c>
      <c r="V159" t="str">
        <f ca="1" t="shared" si="27"/>
        <v>29367 0 1 0 0</v>
      </c>
    </row>
    <row r="160" spans="3:22">
      <c r="C160">
        <v>3844</v>
      </c>
      <c r="D160">
        <f ca="1" t="shared" si="31"/>
        <v>29481</v>
      </c>
      <c r="E160" cm="1">
        <f ca="1" t="array" ref="E160">INDEX(C:C,MATCH(MIN(ABS(C:C-D160)),ABS(C:C-D160),0))</f>
        <v>29483</v>
      </c>
      <c r="F160">
        <f t="shared" si="29"/>
        <v>7</v>
      </c>
      <c r="G160">
        <f ca="1" t="shared" si="30"/>
        <v>116</v>
      </c>
      <c r="H160">
        <f ca="1" t="shared" si="16"/>
        <v>0.873784598210748</v>
      </c>
      <c r="I160">
        <f ca="1" t="shared" si="17"/>
        <v>0.35212503608324</v>
      </c>
      <c r="J160">
        <f ca="1" t="shared" si="18"/>
        <v>0.90784578554534</v>
      </c>
      <c r="K160">
        <f ca="1" t="shared" si="19"/>
        <v>0.0955037153940597</v>
      </c>
      <c r="L160" cm="1">
        <f ca="1" t="array" ref="L160:O160">_xlfn.SORTBY($R$4:$U$4,H160:K160)</f>
        <v>1</v>
      </c>
      <c r="M160">
        <v>0</v>
      </c>
      <c r="N160">
        <v>0</v>
      </c>
      <c r="O160">
        <v>0</v>
      </c>
      <c r="P160" t="str">
        <f ca="1" t="shared" si="32"/>
        <v>29483 1 0 0 0</v>
      </c>
      <c r="R160">
        <v>0</v>
      </c>
      <c r="S160">
        <v>0</v>
      </c>
      <c r="T160">
        <v>0</v>
      </c>
      <c r="U160">
        <v>1</v>
      </c>
      <c r="V160" t="str">
        <f ca="1" t="shared" si="27"/>
        <v>29483 0 0 0 1</v>
      </c>
    </row>
    <row r="161" spans="1:22">
      <c r="A161" t="s">
        <v>82</v>
      </c>
      <c r="C161">
        <v>3867</v>
      </c>
      <c r="D161">
        <f ca="1" t="shared" ref="D161:D180" si="33">B$1+OFFSET(D161,-20,0,1,1)</f>
        <v>29712</v>
      </c>
      <c r="E161" cm="1">
        <f ca="1" t="array" ref="E161">INDEX(C:C,MATCH(MIN(ABS(C:C-D161)),ABS(C:C-D161),0))</f>
        <v>29713</v>
      </c>
      <c r="F161">
        <f t="shared" ref="F161:F180" si="34">ROUNDDOWN((ROW(F161)-1)/20,0)</f>
        <v>8</v>
      </c>
      <c r="G161">
        <f ca="1" t="shared" si="30"/>
        <v>230</v>
      </c>
      <c r="H161">
        <v>1</v>
      </c>
      <c r="I161">
        <v>2</v>
      </c>
      <c r="J161">
        <v>3</v>
      </c>
      <c r="K161">
        <v>4</v>
      </c>
      <c r="L161" cm="1">
        <f t="array" ref="L161:O161">_xlfn.SORTBY($R$3:$U$3,H161:K161)</f>
        <v>0</v>
      </c>
      <c r="M161">
        <v>0</v>
      </c>
      <c r="N161">
        <v>1</v>
      </c>
      <c r="O161">
        <v>1</v>
      </c>
      <c r="P161" t="str">
        <f ca="1" t="shared" ref="P161:P192" si="35">E161&amp;" "&amp;L161&amp;" "&amp;M161&amp;" "&amp;N161&amp;" "&amp;O161</f>
        <v>29713 0 0 1 1</v>
      </c>
      <c r="R161">
        <v>0</v>
      </c>
      <c r="S161">
        <v>0</v>
      </c>
      <c r="T161">
        <v>1</v>
      </c>
      <c r="U161">
        <v>1</v>
      </c>
      <c r="V161" t="str">
        <f ca="1" t="shared" ref="V161:V192" si="36">E161&amp;" "&amp;R161&amp;" "&amp;S161&amp;" "&amp;T161&amp;" "&amp;U161</f>
        <v>29713 0 0 1 1</v>
      </c>
    </row>
    <row r="162" spans="1:22">
      <c r="C162">
        <v>3890</v>
      </c>
      <c r="D162">
        <f ca="1" t="shared" si="33"/>
        <v>29942</v>
      </c>
      <c r="E162" cm="1">
        <f ca="1" t="array" ref="E162">INDEX(C:C,MATCH(MIN(ABS(C:C-D162)),ABS(C:C-D162),0))</f>
        <v>29944</v>
      </c>
      <c r="F162">
        <f t="shared" si="34"/>
        <v>8</v>
      </c>
      <c r="G162">
        <f ca="1" t="shared" si="30"/>
        <v>231</v>
      </c>
      <c r="H162">
        <v>4</v>
      </c>
      <c r="I162">
        <v>3</v>
      </c>
      <c r="J162">
        <v>2</v>
      </c>
      <c r="K162">
        <v>1</v>
      </c>
      <c r="L162" cm="1">
        <f t="array" ref="L162:O162">_xlfn.SORTBY($R$3:$U$3,H162:K162)</f>
        <v>1</v>
      </c>
      <c r="M162">
        <v>1</v>
      </c>
      <c r="N162">
        <v>0</v>
      </c>
      <c r="O162">
        <v>0</v>
      </c>
      <c r="P162" t="str">
        <f ca="1" t="shared" si="35"/>
        <v>29944 1 1 0 0</v>
      </c>
      <c r="R162">
        <v>1</v>
      </c>
      <c r="S162">
        <v>0</v>
      </c>
      <c r="T162">
        <v>0</v>
      </c>
      <c r="U162">
        <v>0</v>
      </c>
      <c r="V162" t="str">
        <f ca="1" t="shared" si="36"/>
        <v>29944 1 0 0 0</v>
      </c>
    </row>
    <row r="163" spans="1:22">
      <c r="C163">
        <v>3913</v>
      </c>
      <c r="D163">
        <f ca="1" t="shared" si="33"/>
        <v>30173</v>
      </c>
      <c r="E163" cm="1">
        <f ca="1" t="array" ref="E163">INDEX(C:C,MATCH(MIN(ABS(C:C-D163)),ABS(C:C-D163),0))</f>
        <v>30175</v>
      </c>
      <c r="F163">
        <f t="shared" si="34"/>
        <v>8</v>
      </c>
      <c r="G163">
        <f ca="1" t="shared" ref="G163:G180" si="37">E163-E162</f>
        <v>231</v>
      </c>
      <c r="H163">
        <v>1</v>
      </c>
      <c r="I163">
        <v>3</v>
      </c>
      <c r="J163">
        <v>2</v>
      </c>
      <c r="K163">
        <v>4</v>
      </c>
      <c r="L163" cm="1">
        <f t="array" ref="L163:O163">_xlfn.SORTBY($R$3:$U$3,H163:K163)</f>
        <v>0</v>
      </c>
      <c r="M163">
        <v>1</v>
      </c>
      <c r="N163">
        <v>0</v>
      </c>
      <c r="O163">
        <v>1</v>
      </c>
      <c r="P163" t="str">
        <f ca="1" t="shared" si="35"/>
        <v>30175 0 1 0 1</v>
      </c>
      <c r="R163">
        <v>0</v>
      </c>
      <c r="S163">
        <v>0</v>
      </c>
      <c r="T163">
        <v>0</v>
      </c>
      <c r="U163">
        <v>1</v>
      </c>
      <c r="V163" t="str">
        <f ca="1" t="shared" si="36"/>
        <v>30175 0 0 0 1</v>
      </c>
    </row>
    <row r="164" spans="1:22">
      <c r="C164">
        <v>3937</v>
      </c>
      <c r="D164">
        <f ca="1" t="shared" si="33"/>
        <v>30289</v>
      </c>
      <c r="E164" cm="1">
        <f ca="1" t="array" ref="E164">INDEX(C:C,MATCH(MIN(ABS(C:C-D164)),ABS(C:C-D164),0))</f>
        <v>30290</v>
      </c>
      <c r="F164">
        <f t="shared" si="34"/>
        <v>8</v>
      </c>
      <c r="G164">
        <f ca="1" t="shared" si="37"/>
        <v>115</v>
      </c>
      <c r="H164">
        <v>4</v>
      </c>
      <c r="I164">
        <v>2</v>
      </c>
      <c r="J164">
        <v>3</v>
      </c>
      <c r="K164">
        <v>1</v>
      </c>
      <c r="L164" cm="1">
        <f t="array" ref="L164:O164">_xlfn.SORTBY($R$3:$U$3,H164:K164)</f>
        <v>1</v>
      </c>
      <c r="M164">
        <v>0</v>
      </c>
      <c r="N164">
        <v>1</v>
      </c>
      <c r="O164">
        <v>0</v>
      </c>
      <c r="P164" t="str">
        <f ca="1" t="shared" si="35"/>
        <v>30290 1 0 1 0</v>
      </c>
      <c r="R164">
        <v>1</v>
      </c>
      <c r="S164">
        <v>0</v>
      </c>
      <c r="T164">
        <v>0</v>
      </c>
      <c r="U164">
        <v>0</v>
      </c>
      <c r="V164" t="str">
        <f ca="1" t="shared" si="36"/>
        <v>30290 1 0 0 0</v>
      </c>
    </row>
    <row r="165" spans="1:22">
      <c r="C165">
        <v>3960</v>
      </c>
      <c r="D165">
        <f ca="1" t="shared" si="33"/>
        <v>30519</v>
      </c>
      <c r="E165" cm="1">
        <f ca="1" t="array" ref="E165">INDEX(C:C,MATCH(MIN(ABS(C:C-D165)),ABS(C:C-D165),0))</f>
        <v>30521</v>
      </c>
      <c r="F165">
        <f t="shared" si="34"/>
        <v>8</v>
      </c>
      <c r="G165">
        <f ca="1" t="shared" si="37"/>
        <v>231</v>
      </c>
      <c r="H165">
        <v>1</v>
      </c>
      <c r="I165">
        <v>4</v>
      </c>
      <c r="J165">
        <v>3</v>
      </c>
      <c r="K165">
        <v>2</v>
      </c>
      <c r="L165" cm="1">
        <f t="array" ref="L165:O165">_xlfn.SORTBY($R$3:$U$3,H165:K165)</f>
        <v>0</v>
      </c>
      <c r="M165">
        <v>1</v>
      </c>
      <c r="N165">
        <v>1</v>
      </c>
      <c r="O165">
        <v>0</v>
      </c>
      <c r="P165" t="str">
        <f ca="1" t="shared" si="35"/>
        <v>30521 0 1 1 0</v>
      </c>
      <c r="R165">
        <v>0</v>
      </c>
      <c r="S165">
        <v>1</v>
      </c>
      <c r="T165">
        <v>0</v>
      </c>
      <c r="U165">
        <v>0</v>
      </c>
      <c r="V165" t="str">
        <f ca="1" t="shared" si="36"/>
        <v>30521 0 1 0 0</v>
      </c>
    </row>
    <row r="166" spans="1:22">
      <c r="C166">
        <v>3983</v>
      </c>
      <c r="D166">
        <f ca="1" t="shared" si="33"/>
        <v>30635</v>
      </c>
      <c r="E166" cm="1">
        <f ca="1" t="array" ref="E166">INDEX(C:C,MATCH(MIN(ABS(C:C-D166)),ABS(C:C-D166),0))</f>
        <v>30637</v>
      </c>
      <c r="F166">
        <f t="shared" si="34"/>
        <v>8</v>
      </c>
      <c r="G166">
        <f ca="1" t="shared" si="37"/>
        <v>116</v>
      </c>
      <c r="H166">
        <v>2</v>
      </c>
      <c r="I166">
        <v>3</v>
      </c>
      <c r="J166">
        <v>4</v>
      </c>
      <c r="K166">
        <v>1</v>
      </c>
      <c r="L166" cm="1">
        <f t="array" ref="L166:O166">_xlfn.SORTBY($R$3:$U$3,H166:K166)</f>
        <v>1</v>
      </c>
      <c r="M166">
        <v>0</v>
      </c>
      <c r="N166">
        <v>0</v>
      </c>
      <c r="O166">
        <v>1</v>
      </c>
      <c r="P166" t="str">
        <f ca="1" t="shared" si="35"/>
        <v>30637 1 0 0 1</v>
      </c>
      <c r="R166">
        <v>1</v>
      </c>
      <c r="S166">
        <v>0</v>
      </c>
      <c r="T166">
        <v>0</v>
      </c>
      <c r="U166">
        <v>0</v>
      </c>
      <c r="V166" t="str">
        <f ca="1" t="shared" si="36"/>
        <v>30637 1 0 0 0</v>
      </c>
    </row>
    <row r="167" spans="1:22">
      <c r="C167">
        <v>4006</v>
      </c>
      <c r="D167">
        <f ca="1" t="shared" si="33"/>
        <v>30866</v>
      </c>
      <c r="E167" cm="1">
        <f ca="1" t="array" ref="E167">INDEX(C:C,MATCH(MIN(ABS(C:C-D167)),ABS(C:C-D167),0))</f>
        <v>30867</v>
      </c>
      <c r="F167">
        <f t="shared" si="34"/>
        <v>8</v>
      </c>
      <c r="G167">
        <f ca="1" t="shared" si="37"/>
        <v>230</v>
      </c>
      <c r="H167">
        <v>2</v>
      </c>
      <c r="I167">
        <v>1</v>
      </c>
      <c r="J167">
        <v>4</v>
      </c>
      <c r="K167">
        <v>3</v>
      </c>
      <c r="L167" cm="1">
        <f t="array" ref="L167:O167">_xlfn.SORTBY($R$3:$U$3,H167:K167)</f>
        <v>0</v>
      </c>
      <c r="M167">
        <v>0</v>
      </c>
      <c r="N167">
        <v>1</v>
      </c>
      <c r="O167">
        <v>1</v>
      </c>
      <c r="P167" t="str">
        <f ca="1" t="shared" si="35"/>
        <v>30867 0 0 1 1</v>
      </c>
      <c r="R167">
        <v>0</v>
      </c>
      <c r="S167">
        <v>0</v>
      </c>
      <c r="T167">
        <v>1</v>
      </c>
      <c r="U167">
        <v>0</v>
      </c>
      <c r="V167" t="str">
        <f ca="1" t="shared" si="36"/>
        <v>30867 0 0 1 0</v>
      </c>
    </row>
    <row r="168" spans="1:22">
      <c r="C168">
        <v>4029</v>
      </c>
      <c r="D168">
        <f ca="1" t="shared" si="33"/>
        <v>30981</v>
      </c>
      <c r="E168" cm="1">
        <f ca="1" t="array" ref="E168">INDEX(C:C,MATCH(MIN(ABS(C:C-D168)),ABS(C:C-D168),0))</f>
        <v>30983</v>
      </c>
      <c r="F168">
        <f t="shared" si="34"/>
        <v>8</v>
      </c>
      <c r="G168">
        <f ca="1" t="shared" si="37"/>
        <v>116</v>
      </c>
      <c r="H168">
        <v>3</v>
      </c>
      <c r="I168">
        <v>4</v>
      </c>
      <c r="J168">
        <v>1</v>
      </c>
      <c r="K168">
        <v>2</v>
      </c>
      <c r="L168" cm="1">
        <f t="array" ref="L168:O168">_xlfn.SORTBY($R$3:$U$3,H168:K168)</f>
        <v>1</v>
      </c>
      <c r="M168">
        <v>1</v>
      </c>
      <c r="N168">
        <v>0</v>
      </c>
      <c r="O168">
        <v>0</v>
      </c>
      <c r="P168" t="str">
        <f ca="1" t="shared" si="35"/>
        <v>30983 1 1 0 0</v>
      </c>
      <c r="R168">
        <v>0</v>
      </c>
      <c r="S168">
        <v>1</v>
      </c>
      <c r="T168">
        <v>0</v>
      </c>
      <c r="U168">
        <v>0</v>
      </c>
      <c r="V168" t="str">
        <f ca="1" t="shared" si="36"/>
        <v>30983 0 1 0 0</v>
      </c>
    </row>
    <row r="169" spans="1:22">
      <c r="C169">
        <v>4052</v>
      </c>
      <c r="D169">
        <f ca="1" t="shared" si="33"/>
        <v>31212</v>
      </c>
      <c r="E169" cm="1">
        <f ca="1" t="array" ref="E169">INDEX(C:C,MATCH(MIN(ABS(C:C-D169)),ABS(C:C-D169),0))</f>
        <v>31213</v>
      </c>
      <c r="F169">
        <f t="shared" si="34"/>
        <v>8</v>
      </c>
      <c r="G169">
        <f ca="1" t="shared" si="37"/>
        <v>230</v>
      </c>
      <c r="H169">
        <v>1</v>
      </c>
      <c r="I169">
        <v>3</v>
      </c>
      <c r="J169">
        <v>2</v>
      </c>
      <c r="K169">
        <v>4</v>
      </c>
      <c r="L169" cm="1">
        <f t="array" ref="L169:O169">_xlfn.SORTBY($R$3:$U$3,H169:K169)</f>
        <v>0</v>
      </c>
      <c r="M169">
        <v>1</v>
      </c>
      <c r="N169">
        <v>0</v>
      </c>
      <c r="O169">
        <v>1</v>
      </c>
      <c r="P169" t="str">
        <f ca="1" t="shared" si="35"/>
        <v>31213 0 1 0 1</v>
      </c>
      <c r="R169">
        <v>0</v>
      </c>
      <c r="S169">
        <v>0</v>
      </c>
      <c r="T169">
        <v>0</v>
      </c>
      <c r="U169">
        <v>1</v>
      </c>
      <c r="V169" t="str">
        <f ca="1" t="shared" si="36"/>
        <v>31213 0 0 0 1</v>
      </c>
    </row>
    <row r="170" spans="1:22">
      <c r="C170">
        <v>4075</v>
      </c>
      <c r="D170">
        <f ca="1" t="shared" si="33"/>
        <v>31327</v>
      </c>
      <c r="E170" cm="1">
        <f ca="1" t="array" ref="E170">INDEX(C:C,MATCH(MIN(ABS(C:C-D170)),ABS(C:C-D170),0))</f>
        <v>31329</v>
      </c>
      <c r="F170">
        <f t="shared" si="34"/>
        <v>8</v>
      </c>
      <c r="G170">
        <f ca="1" t="shared" si="37"/>
        <v>116</v>
      </c>
      <c r="H170">
        <v>3</v>
      </c>
      <c r="I170">
        <v>2</v>
      </c>
      <c r="J170">
        <v>4</v>
      </c>
      <c r="K170">
        <v>1</v>
      </c>
      <c r="L170" cm="1">
        <f t="array" ref="L170:O170">_xlfn.SORTBY($R$3:$U$3,H170:K170)</f>
        <v>1</v>
      </c>
      <c r="M170">
        <v>0</v>
      </c>
      <c r="N170">
        <v>0</v>
      </c>
      <c r="O170">
        <v>1</v>
      </c>
      <c r="P170" t="str">
        <f ca="1" t="shared" si="35"/>
        <v>31329 1 0 0 1</v>
      </c>
      <c r="R170">
        <v>1</v>
      </c>
      <c r="S170">
        <v>0</v>
      </c>
      <c r="T170">
        <v>0</v>
      </c>
      <c r="U170">
        <v>0</v>
      </c>
      <c r="V170" t="str">
        <f ca="1" t="shared" si="36"/>
        <v>31329 1 0 0 0</v>
      </c>
    </row>
    <row r="171" spans="1:22">
      <c r="C171">
        <v>4098</v>
      </c>
      <c r="D171">
        <f ca="1" t="shared" si="33"/>
        <v>31558</v>
      </c>
      <c r="E171" cm="1">
        <f ca="1" t="array" ref="E171">INDEX(C:C,MATCH(MIN(ABS(C:C-D171)),ABS(C:C-D171),0))</f>
        <v>31560</v>
      </c>
      <c r="F171">
        <f t="shared" si="34"/>
        <v>8</v>
      </c>
      <c r="G171">
        <f ca="1" t="shared" si="37"/>
        <v>231</v>
      </c>
      <c r="H171">
        <v>4</v>
      </c>
      <c r="I171">
        <v>3</v>
      </c>
      <c r="J171">
        <v>2</v>
      </c>
      <c r="K171">
        <v>1</v>
      </c>
      <c r="L171" cm="1">
        <f t="array" ref="L171:O171">_xlfn.SORTBY($R$3:$U$3,H171:K171)</f>
        <v>1</v>
      </c>
      <c r="M171">
        <v>1</v>
      </c>
      <c r="N171">
        <v>0</v>
      </c>
      <c r="O171">
        <v>0</v>
      </c>
      <c r="P171" t="str">
        <f ca="1" t="shared" si="35"/>
        <v>31560 1 1 0 0</v>
      </c>
      <c r="R171">
        <v>1</v>
      </c>
      <c r="S171">
        <v>1</v>
      </c>
      <c r="T171">
        <v>0</v>
      </c>
      <c r="U171">
        <v>0</v>
      </c>
      <c r="V171" t="str">
        <f ca="1" t="shared" si="36"/>
        <v>31560 1 1 0 0</v>
      </c>
    </row>
    <row r="172" spans="1:22">
      <c r="C172">
        <v>4121</v>
      </c>
      <c r="D172">
        <f ca="1" t="shared" si="33"/>
        <v>31789</v>
      </c>
      <c r="E172" cm="1">
        <f ca="1" t="array" ref="E172">INDEX(C:C,MATCH(MIN(ABS(C:C-D172)),ABS(C:C-D172),0))</f>
        <v>31790</v>
      </c>
      <c r="F172">
        <f t="shared" si="34"/>
        <v>8</v>
      </c>
      <c r="G172">
        <f ca="1" t="shared" si="37"/>
        <v>230</v>
      </c>
      <c r="H172">
        <v>1</v>
      </c>
      <c r="I172">
        <v>2</v>
      </c>
      <c r="J172">
        <v>3</v>
      </c>
      <c r="K172">
        <v>4</v>
      </c>
      <c r="L172" cm="1">
        <f t="array" ref="L172:O172">_xlfn.SORTBY($R$3:$U$3,H172:K172)</f>
        <v>0</v>
      </c>
      <c r="M172">
        <v>0</v>
      </c>
      <c r="N172">
        <v>1</v>
      </c>
      <c r="O172">
        <v>1</v>
      </c>
      <c r="P172" t="str">
        <f ca="1" t="shared" si="35"/>
        <v>31790 0 0 1 1</v>
      </c>
      <c r="R172">
        <v>0</v>
      </c>
      <c r="S172">
        <v>0</v>
      </c>
      <c r="T172">
        <v>0</v>
      </c>
      <c r="U172">
        <v>1</v>
      </c>
      <c r="V172" t="str">
        <f ca="1" t="shared" si="36"/>
        <v>31790 0 0 0 1</v>
      </c>
    </row>
    <row r="173" spans="1:22">
      <c r="C173">
        <v>4144</v>
      </c>
      <c r="D173">
        <f ca="1" t="shared" si="33"/>
        <v>32020</v>
      </c>
      <c r="E173" cm="1">
        <f ca="1" t="array" ref="E173">INDEX(C:C,MATCH(MIN(ABS(C:C-D173)),ABS(C:C-D173),0))</f>
        <v>32021</v>
      </c>
      <c r="F173">
        <f t="shared" si="34"/>
        <v>8</v>
      </c>
      <c r="G173">
        <f ca="1" t="shared" si="37"/>
        <v>231</v>
      </c>
      <c r="H173">
        <v>4</v>
      </c>
      <c r="I173">
        <v>2</v>
      </c>
      <c r="J173">
        <v>3</v>
      </c>
      <c r="K173">
        <v>1</v>
      </c>
      <c r="L173" cm="1">
        <f t="array" ref="L173:O173">_xlfn.SORTBY($R$3:$U$3,H173:K173)</f>
        <v>1</v>
      </c>
      <c r="M173">
        <v>0</v>
      </c>
      <c r="N173">
        <v>1</v>
      </c>
      <c r="O173">
        <v>0</v>
      </c>
      <c r="P173" t="str">
        <f ca="1" t="shared" si="35"/>
        <v>32021 1 0 1 0</v>
      </c>
      <c r="R173">
        <v>1</v>
      </c>
      <c r="S173">
        <v>0</v>
      </c>
      <c r="T173">
        <v>0</v>
      </c>
      <c r="U173">
        <v>0</v>
      </c>
      <c r="V173" t="str">
        <f ca="1" t="shared" si="36"/>
        <v>32021 1 0 0 0</v>
      </c>
    </row>
    <row r="174" spans="1:22">
      <c r="C174">
        <v>4167</v>
      </c>
      <c r="D174">
        <f ca="1" t="shared" si="33"/>
        <v>32135</v>
      </c>
      <c r="E174" cm="1">
        <f ca="1" t="array" ref="E174">INDEX(C:C,MATCH(MIN(ABS(C:C-D174)),ABS(C:C-D174),0))</f>
        <v>32137</v>
      </c>
      <c r="F174">
        <f t="shared" si="34"/>
        <v>8</v>
      </c>
      <c r="G174">
        <f ca="1" t="shared" si="37"/>
        <v>116</v>
      </c>
      <c r="H174">
        <v>1</v>
      </c>
      <c r="I174">
        <v>3</v>
      </c>
      <c r="J174">
        <v>2</v>
      </c>
      <c r="K174">
        <v>4</v>
      </c>
      <c r="L174" cm="1">
        <f t="array" ref="L174:O174">_xlfn.SORTBY($R$3:$U$3,H174:K174)</f>
        <v>0</v>
      </c>
      <c r="M174">
        <v>1</v>
      </c>
      <c r="N174">
        <v>0</v>
      </c>
      <c r="O174">
        <v>1</v>
      </c>
      <c r="P174" t="str">
        <f ca="1" t="shared" si="35"/>
        <v>32137 0 1 0 1</v>
      </c>
      <c r="R174">
        <v>0</v>
      </c>
      <c r="S174">
        <v>0</v>
      </c>
      <c r="T174">
        <v>0</v>
      </c>
      <c r="U174">
        <v>1</v>
      </c>
      <c r="V174" t="str">
        <f ca="1" t="shared" si="36"/>
        <v>32137 0 0 0 1</v>
      </c>
    </row>
    <row r="175" spans="1:22">
      <c r="C175">
        <v>4190</v>
      </c>
      <c r="D175">
        <f ca="1" t="shared" si="33"/>
        <v>32366</v>
      </c>
      <c r="E175" cm="1">
        <f ca="1" t="array" ref="E175">INDEX(C:C,MATCH(MIN(ABS(C:C-D175)),ABS(C:C-D175),0))</f>
        <v>32367</v>
      </c>
      <c r="F175">
        <f t="shared" si="34"/>
        <v>8</v>
      </c>
      <c r="G175">
        <f ca="1" t="shared" si="37"/>
        <v>230</v>
      </c>
      <c r="H175">
        <v>2</v>
      </c>
      <c r="I175">
        <v>3</v>
      </c>
      <c r="J175">
        <v>4</v>
      </c>
      <c r="K175">
        <v>1</v>
      </c>
      <c r="L175" cm="1">
        <f t="array" ref="L175:O175">_xlfn.SORTBY($R$3:$U$3,H175:K175)</f>
        <v>1</v>
      </c>
      <c r="M175">
        <v>0</v>
      </c>
      <c r="N175">
        <v>0</v>
      </c>
      <c r="O175">
        <v>1</v>
      </c>
      <c r="P175" t="str">
        <f ca="1" t="shared" si="35"/>
        <v>32367 1 0 0 1</v>
      </c>
      <c r="R175">
        <v>1</v>
      </c>
      <c r="S175">
        <v>0</v>
      </c>
      <c r="T175">
        <v>0</v>
      </c>
      <c r="U175">
        <v>0</v>
      </c>
      <c r="V175" t="str">
        <f ca="1" t="shared" si="36"/>
        <v>32367 1 0 0 0</v>
      </c>
    </row>
    <row r="176" spans="1:22">
      <c r="C176">
        <v>4213</v>
      </c>
      <c r="D176">
        <f ca="1" t="shared" si="33"/>
        <v>32481</v>
      </c>
      <c r="E176" cm="1">
        <f ca="1" t="array" ref="E176">INDEX(C:C,MATCH(MIN(ABS(C:C-D176)),ABS(C:C-D176),0))</f>
        <v>32483</v>
      </c>
      <c r="F176">
        <f t="shared" si="34"/>
        <v>8</v>
      </c>
      <c r="G176">
        <f ca="1" t="shared" si="37"/>
        <v>116</v>
      </c>
      <c r="H176">
        <v>1</v>
      </c>
      <c r="I176">
        <v>4</v>
      </c>
      <c r="J176">
        <v>3</v>
      </c>
      <c r="K176">
        <v>2</v>
      </c>
      <c r="L176" cm="1">
        <f t="array" ref="L176:O176">_xlfn.SORTBY($R$3:$U$3,H176:K176)</f>
        <v>0</v>
      </c>
      <c r="M176">
        <v>1</v>
      </c>
      <c r="N176">
        <v>1</v>
      </c>
      <c r="O176">
        <v>0</v>
      </c>
      <c r="P176" t="str">
        <f ca="1" t="shared" si="35"/>
        <v>32483 0 1 1 0</v>
      </c>
      <c r="R176">
        <v>0</v>
      </c>
      <c r="S176">
        <v>1</v>
      </c>
      <c r="T176">
        <v>0</v>
      </c>
      <c r="U176">
        <v>0</v>
      </c>
      <c r="V176" t="str">
        <f ca="1" t="shared" si="36"/>
        <v>32483 0 1 0 0</v>
      </c>
    </row>
    <row r="177" spans="3:22">
      <c r="C177">
        <v>4237</v>
      </c>
      <c r="D177">
        <f ca="1" t="shared" si="33"/>
        <v>32712</v>
      </c>
      <c r="E177" cm="1">
        <f ca="1" t="array" ref="E177">INDEX(C:C,MATCH(MIN(ABS(C:C-D177)),ABS(C:C-D177),0))</f>
        <v>32713</v>
      </c>
      <c r="F177">
        <f t="shared" si="34"/>
        <v>8</v>
      </c>
      <c r="G177">
        <f ca="1" t="shared" si="37"/>
        <v>230</v>
      </c>
      <c r="H177">
        <v>3</v>
      </c>
      <c r="I177">
        <v>4</v>
      </c>
      <c r="J177">
        <v>1</v>
      </c>
      <c r="K177">
        <v>2</v>
      </c>
      <c r="L177" cm="1">
        <f t="array" ref="L177:O177">_xlfn.SORTBY($R$3:$U$3,H177:K177)</f>
        <v>1</v>
      </c>
      <c r="M177">
        <v>1</v>
      </c>
      <c r="N177">
        <v>0</v>
      </c>
      <c r="O177">
        <v>0</v>
      </c>
      <c r="P177" t="str">
        <f ca="1" t="shared" si="35"/>
        <v>32713 1 1 0 0</v>
      </c>
      <c r="R177">
        <v>0</v>
      </c>
      <c r="S177">
        <v>1</v>
      </c>
      <c r="T177">
        <v>0</v>
      </c>
      <c r="U177">
        <v>0</v>
      </c>
      <c r="V177" t="str">
        <f ca="1" t="shared" si="36"/>
        <v>32713 0 1 0 0</v>
      </c>
    </row>
    <row r="178" spans="3:22">
      <c r="C178">
        <v>4260</v>
      </c>
      <c r="D178">
        <f ca="1" t="shared" si="33"/>
        <v>32827</v>
      </c>
      <c r="E178" cm="1">
        <f ca="1" t="array" ref="E178">INDEX(C:C,MATCH(MIN(ABS(C:C-D178)),ABS(C:C-D178),0))</f>
        <v>32829</v>
      </c>
      <c r="F178">
        <f t="shared" si="34"/>
        <v>8</v>
      </c>
      <c r="G178">
        <f ca="1" t="shared" si="37"/>
        <v>116</v>
      </c>
      <c r="H178">
        <v>2</v>
      </c>
      <c r="I178">
        <v>1</v>
      </c>
      <c r="J178">
        <v>4</v>
      </c>
      <c r="K178">
        <v>3</v>
      </c>
      <c r="L178" cm="1">
        <f t="array" ref="L178:O178">_xlfn.SORTBY($R$3:$U$3,H178:K178)</f>
        <v>0</v>
      </c>
      <c r="M178">
        <v>0</v>
      </c>
      <c r="N178">
        <v>1</v>
      </c>
      <c r="O178">
        <v>1</v>
      </c>
      <c r="P178" t="str">
        <f ca="1" t="shared" si="35"/>
        <v>32829 0 0 1 1</v>
      </c>
      <c r="R178">
        <v>0</v>
      </c>
      <c r="S178">
        <v>0</v>
      </c>
      <c r="T178">
        <v>1</v>
      </c>
      <c r="U178">
        <v>0</v>
      </c>
      <c r="V178" t="str">
        <f ca="1" t="shared" si="36"/>
        <v>32829 0 0 1 0</v>
      </c>
    </row>
    <row r="179" spans="3:22">
      <c r="C179">
        <v>4283</v>
      </c>
      <c r="D179">
        <f ca="1" t="shared" si="33"/>
        <v>33058</v>
      </c>
      <c r="E179" cm="1">
        <f ca="1" t="array" ref="E179">INDEX(C:C,MATCH(MIN(ABS(C:C-D179)),ABS(C:C-D179),0))</f>
        <v>33060</v>
      </c>
      <c r="F179">
        <f t="shared" si="34"/>
        <v>8</v>
      </c>
      <c r="G179">
        <f ca="1" t="shared" si="37"/>
        <v>231</v>
      </c>
      <c r="H179">
        <v>3</v>
      </c>
      <c r="I179">
        <v>2</v>
      </c>
      <c r="J179">
        <v>4</v>
      </c>
      <c r="K179">
        <v>1</v>
      </c>
      <c r="L179" cm="1">
        <f t="array" ref="L179:O179">_xlfn.SORTBY($R$3:$U$3,H179:K179)</f>
        <v>1</v>
      </c>
      <c r="M179">
        <v>0</v>
      </c>
      <c r="N179">
        <v>0</v>
      </c>
      <c r="O179">
        <v>1</v>
      </c>
      <c r="P179" t="str">
        <f ca="1" t="shared" si="35"/>
        <v>33060 1 0 0 1</v>
      </c>
      <c r="R179">
        <v>1</v>
      </c>
      <c r="S179">
        <v>0</v>
      </c>
      <c r="T179">
        <v>0</v>
      </c>
      <c r="U179">
        <v>0</v>
      </c>
      <c r="V179" t="str">
        <f ca="1" t="shared" si="36"/>
        <v>33060 1 0 0 0</v>
      </c>
    </row>
    <row r="180" spans="3:22">
      <c r="C180">
        <v>4306</v>
      </c>
      <c r="D180">
        <f ca="1" t="shared" si="33"/>
        <v>33173</v>
      </c>
      <c r="E180" cm="1">
        <f ca="1" t="array" ref="E180">INDEX(C:C,MATCH(MIN(ABS(C:C-D180)),ABS(C:C-D180),0))</f>
        <v>33175</v>
      </c>
      <c r="F180">
        <f t="shared" ref="F180:F211" si="38">ROUNDDOWN((ROW(F180)-1)/20,0)</f>
        <v>8</v>
      </c>
      <c r="G180">
        <f ca="1" t="shared" ref="G180:G211" si="39">E180-E179</f>
        <v>115</v>
      </c>
      <c r="H180">
        <v>1</v>
      </c>
      <c r="I180">
        <v>3</v>
      </c>
      <c r="J180">
        <v>2</v>
      </c>
      <c r="K180">
        <v>4</v>
      </c>
      <c r="L180" cm="1">
        <f t="array" ref="L180:O180">_xlfn.SORTBY($R$3:$U$3,H180:K180)</f>
        <v>0</v>
      </c>
      <c r="M180">
        <v>1</v>
      </c>
      <c r="N180">
        <v>0</v>
      </c>
      <c r="O180">
        <v>1</v>
      </c>
      <c r="P180" t="str">
        <f ca="1" t="shared" si="35"/>
        <v>33175 0 1 0 1</v>
      </c>
      <c r="R180">
        <v>0</v>
      </c>
      <c r="S180">
        <v>0</v>
      </c>
      <c r="T180">
        <v>0</v>
      </c>
      <c r="U180">
        <v>1</v>
      </c>
      <c r="V180" t="str">
        <f ca="1" t="shared" si="36"/>
        <v>33175 0 0 0 1</v>
      </c>
    </row>
    <row r="181" spans="3:22">
      <c r="C181">
        <v>4329</v>
      </c>
      <c r="D181">
        <f ca="1" t="shared" ref="D181:D212" si="40">B$1+OFFSET(D181,-20,0,1,1)</f>
        <v>33404</v>
      </c>
      <c r="E181" cm="1">
        <f ca="1" t="array" ref="E181">INDEX(C:C,MATCH(MIN(ABS(C:C-D181)),ABS(C:C-D181),0))</f>
        <v>33406</v>
      </c>
      <c r="F181">
        <f t="shared" si="38"/>
        <v>9</v>
      </c>
      <c r="G181">
        <f ca="1" t="shared" si="39"/>
        <v>231</v>
      </c>
      <c r="H181">
        <v>4</v>
      </c>
      <c r="I181">
        <v>3</v>
      </c>
      <c r="J181">
        <v>2</v>
      </c>
      <c r="K181">
        <v>1</v>
      </c>
      <c r="L181" cm="1">
        <f t="array" ref="L181:O181">_xlfn.SORTBY($R$3:$U$3,H181:K181)</f>
        <v>1</v>
      </c>
      <c r="M181">
        <v>1</v>
      </c>
      <c r="N181">
        <v>0</v>
      </c>
      <c r="O181">
        <v>0</v>
      </c>
      <c r="P181" t="str">
        <f ca="1" t="shared" si="35"/>
        <v>33406 1 1 0 0</v>
      </c>
      <c r="R181">
        <v>1</v>
      </c>
      <c r="S181">
        <v>1</v>
      </c>
      <c r="T181">
        <v>0</v>
      </c>
      <c r="U181">
        <v>0</v>
      </c>
      <c r="V181" t="str">
        <f ca="1" t="shared" si="36"/>
        <v>33406 1 1 0 0</v>
      </c>
    </row>
    <row r="182" spans="3:22">
      <c r="C182">
        <v>4352</v>
      </c>
      <c r="D182">
        <f ca="1" t="shared" si="40"/>
        <v>33634</v>
      </c>
      <c r="E182" cm="1">
        <f ca="1" t="array" ref="E182">INDEX(C:C,MATCH(MIN(ABS(C:C-D182)),ABS(C:C-D182),0))</f>
        <v>33637</v>
      </c>
      <c r="F182">
        <f t="shared" si="38"/>
        <v>9</v>
      </c>
      <c r="G182">
        <f ca="1" t="shared" si="39"/>
        <v>231</v>
      </c>
      <c r="H182">
        <v>1</v>
      </c>
      <c r="I182">
        <v>2</v>
      </c>
      <c r="J182">
        <v>3</v>
      </c>
      <c r="K182">
        <v>4</v>
      </c>
      <c r="L182" cm="1">
        <f t="array" ref="L182:O182">_xlfn.SORTBY($R$3:$U$3,H182:K182)</f>
        <v>0</v>
      </c>
      <c r="M182">
        <v>0</v>
      </c>
      <c r="N182">
        <v>1</v>
      </c>
      <c r="O182">
        <v>1</v>
      </c>
      <c r="P182" t="str">
        <f ca="1" t="shared" si="35"/>
        <v>33637 0 0 1 1</v>
      </c>
      <c r="R182">
        <v>0</v>
      </c>
      <c r="S182">
        <v>0</v>
      </c>
      <c r="T182">
        <v>0</v>
      </c>
      <c r="U182">
        <v>1</v>
      </c>
      <c r="V182" t="str">
        <f ca="1" t="shared" si="36"/>
        <v>33637 0 0 0 1</v>
      </c>
    </row>
    <row r="183" spans="3:22">
      <c r="C183">
        <v>4375</v>
      </c>
      <c r="D183">
        <f ca="1" t="shared" si="40"/>
        <v>33865</v>
      </c>
      <c r="E183" cm="1">
        <f ca="1" t="array" ref="E183">INDEX(C:C,MATCH(MIN(ABS(C:C-D183)),ABS(C:C-D183),0))</f>
        <v>33867</v>
      </c>
      <c r="F183">
        <f t="shared" si="38"/>
        <v>9</v>
      </c>
      <c r="G183">
        <f ca="1" t="shared" si="39"/>
        <v>230</v>
      </c>
      <c r="H183">
        <v>4</v>
      </c>
      <c r="I183">
        <v>2</v>
      </c>
      <c r="J183">
        <v>3</v>
      </c>
      <c r="K183">
        <v>1</v>
      </c>
      <c r="L183" cm="1">
        <f t="array" ref="L183:O183">_xlfn.SORTBY($R$3:$U$3,H183:K183)</f>
        <v>1</v>
      </c>
      <c r="M183">
        <v>0</v>
      </c>
      <c r="N183">
        <v>1</v>
      </c>
      <c r="O183">
        <v>0</v>
      </c>
      <c r="P183" t="str">
        <f ca="1" t="shared" si="35"/>
        <v>33867 1 0 1 0</v>
      </c>
      <c r="R183">
        <v>1</v>
      </c>
      <c r="S183">
        <v>0</v>
      </c>
      <c r="T183">
        <v>0</v>
      </c>
      <c r="U183">
        <v>0</v>
      </c>
      <c r="V183" t="str">
        <f ca="1" t="shared" si="36"/>
        <v>33867 1 0 0 0</v>
      </c>
    </row>
    <row r="184" spans="3:22">
      <c r="C184">
        <v>4398</v>
      </c>
      <c r="D184">
        <f ca="1" t="shared" si="40"/>
        <v>33981</v>
      </c>
      <c r="E184" cm="1">
        <f ca="1" t="array" ref="E184">INDEX(C:C,MATCH(MIN(ABS(C:C-D184)),ABS(C:C-D184),0))</f>
        <v>33983</v>
      </c>
      <c r="F184">
        <f t="shared" si="38"/>
        <v>9</v>
      </c>
      <c r="G184">
        <f ca="1" t="shared" si="39"/>
        <v>116</v>
      </c>
      <c r="H184">
        <v>1</v>
      </c>
      <c r="I184">
        <v>3</v>
      </c>
      <c r="J184">
        <v>2</v>
      </c>
      <c r="K184">
        <v>4</v>
      </c>
      <c r="L184" cm="1">
        <f t="array" ref="L184:O184">_xlfn.SORTBY($R$3:$U$3,H184:K184)</f>
        <v>0</v>
      </c>
      <c r="M184">
        <v>1</v>
      </c>
      <c r="N184">
        <v>0</v>
      </c>
      <c r="O184">
        <v>1</v>
      </c>
      <c r="P184" t="str">
        <f ca="1" t="shared" si="35"/>
        <v>33983 0 1 0 1</v>
      </c>
      <c r="R184">
        <v>0</v>
      </c>
      <c r="S184">
        <v>0</v>
      </c>
      <c r="T184">
        <v>0</v>
      </c>
      <c r="U184">
        <v>1</v>
      </c>
      <c r="V184" t="str">
        <f ca="1" t="shared" si="36"/>
        <v>33983 0 0 0 1</v>
      </c>
    </row>
    <row r="185" spans="3:22">
      <c r="C185">
        <v>4421</v>
      </c>
      <c r="D185">
        <f ca="1" t="shared" si="40"/>
        <v>34211</v>
      </c>
      <c r="E185" cm="1">
        <f ca="1" t="array" ref="E185">INDEX(C:C,MATCH(MIN(ABS(C:C-D185)),ABS(C:C-D185),0))</f>
        <v>34213</v>
      </c>
      <c r="F185">
        <f t="shared" si="38"/>
        <v>9</v>
      </c>
      <c r="G185">
        <f ca="1" t="shared" si="39"/>
        <v>230</v>
      </c>
      <c r="H185">
        <v>2</v>
      </c>
      <c r="I185">
        <v>3</v>
      </c>
      <c r="J185">
        <v>4</v>
      </c>
      <c r="K185">
        <v>1</v>
      </c>
      <c r="L185" cm="1">
        <f t="array" ref="L185:O185">_xlfn.SORTBY($R$3:$U$3,H185:K185)</f>
        <v>1</v>
      </c>
      <c r="M185">
        <v>0</v>
      </c>
      <c r="N185">
        <v>0</v>
      </c>
      <c r="O185">
        <v>1</v>
      </c>
      <c r="P185" t="str">
        <f ca="1" t="shared" si="35"/>
        <v>34213 1 0 0 1</v>
      </c>
      <c r="R185">
        <v>1</v>
      </c>
      <c r="S185">
        <v>0</v>
      </c>
      <c r="T185">
        <v>0</v>
      </c>
      <c r="U185">
        <v>0</v>
      </c>
      <c r="V185" t="str">
        <f ca="1" t="shared" si="36"/>
        <v>34213 1 0 0 0</v>
      </c>
    </row>
    <row r="186" spans="3:22">
      <c r="C186">
        <v>4444</v>
      </c>
      <c r="D186">
        <f ca="1" t="shared" si="40"/>
        <v>34327</v>
      </c>
      <c r="E186" cm="1">
        <f ca="1" t="array" ref="E186">INDEX(C:C,MATCH(MIN(ABS(C:C-D186)),ABS(C:C-D186),0))</f>
        <v>34329</v>
      </c>
      <c r="F186">
        <f t="shared" si="38"/>
        <v>9</v>
      </c>
      <c r="G186">
        <f ca="1" t="shared" si="39"/>
        <v>116</v>
      </c>
      <c r="H186">
        <v>1</v>
      </c>
      <c r="I186">
        <v>4</v>
      </c>
      <c r="J186">
        <v>3</v>
      </c>
      <c r="K186">
        <v>2</v>
      </c>
      <c r="L186" cm="1">
        <f t="array" ref="L186:O186">_xlfn.SORTBY($R$3:$U$3,H186:K186)</f>
        <v>0</v>
      </c>
      <c r="M186">
        <v>1</v>
      </c>
      <c r="N186">
        <v>1</v>
      </c>
      <c r="O186">
        <v>0</v>
      </c>
      <c r="P186" t="str">
        <f ca="1" t="shared" si="35"/>
        <v>34329 0 1 1 0</v>
      </c>
      <c r="R186">
        <v>0</v>
      </c>
      <c r="S186">
        <v>1</v>
      </c>
      <c r="T186">
        <v>0</v>
      </c>
      <c r="U186">
        <v>0</v>
      </c>
      <c r="V186" t="str">
        <f ca="1" t="shared" si="36"/>
        <v>34329 0 1 0 0</v>
      </c>
    </row>
    <row r="187" spans="3:22">
      <c r="C187">
        <v>4467</v>
      </c>
      <c r="D187">
        <f ca="1" t="shared" si="40"/>
        <v>34558</v>
      </c>
      <c r="E187" cm="1">
        <f ca="1" t="array" ref="E187">INDEX(C:C,MATCH(MIN(ABS(C:C-D187)),ABS(C:C-D187),0))</f>
        <v>34560</v>
      </c>
      <c r="F187">
        <f t="shared" si="38"/>
        <v>9</v>
      </c>
      <c r="G187">
        <f ca="1" t="shared" si="39"/>
        <v>231</v>
      </c>
      <c r="H187">
        <v>3</v>
      </c>
      <c r="I187">
        <v>4</v>
      </c>
      <c r="J187">
        <v>1</v>
      </c>
      <c r="K187">
        <v>2</v>
      </c>
      <c r="L187" cm="1">
        <f t="array" ref="L187:O187">_xlfn.SORTBY($R$3:$U$3,H187:K187)</f>
        <v>1</v>
      </c>
      <c r="M187">
        <v>1</v>
      </c>
      <c r="N187">
        <v>0</v>
      </c>
      <c r="O187">
        <v>0</v>
      </c>
      <c r="P187" t="str">
        <f ca="1" t="shared" si="35"/>
        <v>34560 1 1 0 0</v>
      </c>
      <c r="R187">
        <v>0</v>
      </c>
      <c r="S187">
        <v>1</v>
      </c>
      <c r="T187">
        <v>0</v>
      </c>
      <c r="U187">
        <v>0</v>
      </c>
      <c r="V187" t="str">
        <f ca="1" t="shared" si="36"/>
        <v>34560 0 1 0 0</v>
      </c>
    </row>
    <row r="188" spans="3:22">
      <c r="C188">
        <v>4490</v>
      </c>
      <c r="D188">
        <f ca="1" t="shared" si="40"/>
        <v>34673</v>
      </c>
      <c r="E188" cm="1">
        <f ca="1" t="array" ref="E188">INDEX(C:C,MATCH(MIN(ABS(C:C-D188)),ABS(C:C-D188),0))</f>
        <v>34675</v>
      </c>
      <c r="F188">
        <f t="shared" si="38"/>
        <v>9</v>
      </c>
      <c r="G188">
        <f ca="1" t="shared" si="39"/>
        <v>115</v>
      </c>
      <c r="H188">
        <v>2</v>
      </c>
      <c r="I188">
        <v>1</v>
      </c>
      <c r="J188">
        <v>4</v>
      </c>
      <c r="K188">
        <v>3</v>
      </c>
      <c r="L188" cm="1">
        <f t="array" ref="L188:O188">_xlfn.SORTBY($R$3:$U$3,H188:K188)</f>
        <v>0</v>
      </c>
      <c r="M188">
        <v>0</v>
      </c>
      <c r="N188">
        <v>1</v>
      </c>
      <c r="O188">
        <v>1</v>
      </c>
      <c r="P188" t="str">
        <f ca="1" t="shared" si="35"/>
        <v>34675 0 0 1 1</v>
      </c>
      <c r="R188">
        <v>0</v>
      </c>
      <c r="S188">
        <v>0</v>
      </c>
      <c r="T188">
        <v>1</v>
      </c>
      <c r="U188">
        <v>0</v>
      </c>
      <c r="V188" t="str">
        <f ca="1" t="shared" si="36"/>
        <v>34675 0 0 1 0</v>
      </c>
    </row>
    <row r="189" spans="3:22">
      <c r="C189">
        <v>4513</v>
      </c>
      <c r="D189">
        <f ca="1" t="shared" si="40"/>
        <v>34904</v>
      </c>
      <c r="E189" cm="1">
        <f ca="1" t="array" ref="E189">INDEX(C:C,MATCH(MIN(ABS(C:C-D189)),ABS(C:C-D189),0))</f>
        <v>34906</v>
      </c>
      <c r="F189">
        <f t="shared" si="38"/>
        <v>9</v>
      </c>
      <c r="G189">
        <f ca="1" t="shared" si="39"/>
        <v>231</v>
      </c>
      <c r="H189">
        <v>3</v>
      </c>
      <c r="I189">
        <v>2</v>
      </c>
      <c r="J189">
        <v>4</v>
      </c>
      <c r="K189">
        <v>1</v>
      </c>
      <c r="L189" cm="1">
        <f t="array" ref="L189:O189">_xlfn.SORTBY($R$3:$U$3,H189:K189)</f>
        <v>1</v>
      </c>
      <c r="M189">
        <v>0</v>
      </c>
      <c r="N189">
        <v>0</v>
      </c>
      <c r="O189">
        <v>1</v>
      </c>
      <c r="P189" t="str">
        <f ca="1" t="shared" si="35"/>
        <v>34906 1 0 0 1</v>
      </c>
      <c r="R189">
        <v>1</v>
      </c>
      <c r="S189">
        <v>0</v>
      </c>
      <c r="T189">
        <v>0</v>
      </c>
      <c r="U189">
        <v>0</v>
      </c>
      <c r="V189" t="str">
        <f ca="1" t="shared" si="36"/>
        <v>34906 1 0 0 0</v>
      </c>
    </row>
    <row r="190" spans="3:22">
      <c r="C190">
        <v>4537</v>
      </c>
      <c r="D190">
        <f ca="1" t="shared" si="40"/>
        <v>35019</v>
      </c>
      <c r="E190" cm="1">
        <f ca="1" t="array" ref="E190">INDEX(C:C,MATCH(MIN(ABS(C:C-D190)),ABS(C:C-D190),0))</f>
        <v>35021</v>
      </c>
      <c r="F190">
        <f t="shared" si="38"/>
        <v>9</v>
      </c>
      <c r="G190">
        <f ca="1" t="shared" si="39"/>
        <v>115</v>
      </c>
      <c r="H190">
        <v>1</v>
      </c>
      <c r="I190">
        <v>3</v>
      </c>
      <c r="J190">
        <v>2</v>
      </c>
      <c r="K190">
        <v>4</v>
      </c>
      <c r="L190" cm="1">
        <f t="array" ref="L190:O190">_xlfn.SORTBY($R$3:$U$3,H190:K190)</f>
        <v>0</v>
      </c>
      <c r="M190">
        <v>1</v>
      </c>
      <c r="N190">
        <v>0</v>
      </c>
      <c r="O190">
        <v>1</v>
      </c>
      <c r="P190" t="str">
        <f ca="1" t="shared" si="35"/>
        <v>35021 0 1 0 1</v>
      </c>
      <c r="R190">
        <v>0</v>
      </c>
      <c r="S190">
        <v>0</v>
      </c>
      <c r="T190">
        <v>0</v>
      </c>
      <c r="U190">
        <v>1</v>
      </c>
      <c r="V190" t="str">
        <f ca="1" t="shared" si="36"/>
        <v>35021 0 0 0 1</v>
      </c>
    </row>
    <row r="191" spans="3:22">
      <c r="C191">
        <v>4560</v>
      </c>
      <c r="D191">
        <f ca="1" t="shared" si="40"/>
        <v>35250</v>
      </c>
      <c r="E191" cm="1">
        <f ca="1" t="array" ref="E191">INDEX(C:C,MATCH(MIN(ABS(C:C-D191)),ABS(C:C-D191),0))</f>
        <v>35252</v>
      </c>
      <c r="F191">
        <f t="shared" si="38"/>
        <v>9</v>
      </c>
      <c r="G191">
        <f ca="1" t="shared" si="39"/>
        <v>231</v>
      </c>
      <c r="H191">
        <v>1</v>
      </c>
      <c r="I191">
        <v>2</v>
      </c>
      <c r="J191">
        <v>3</v>
      </c>
      <c r="K191">
        <v>4</v>
      </c>
      <c r="L191" cm="1">
        <f t="array" ref="L191:O191">_xlfn.SORTBY($R$3:$U$3,H191:K191)</f>
        <v>0</v>
      </c>
      <c r="M191">
        <v>0</v>
      </c>
      <c r="N191">
        <v>1</v>
      </c>
      <c r="O191">
        <v>1</v>
      </c>
      <c r="P191" t="str">
        <f ca="1" t="shared" si="35"/>
        <v>35252 0 0 1 1</v>
      </c>
      <c r="R191">
        <v>0</v>
      </c>
      <c r="S191">
        <v>0</v>
      </c>
      <c r="T191">
        <v>1</v>
      </c>
      <c r="U191">
        <v>1</v>
      </c>
      <c r="V191" t="str">
        <f ca="1" t="shared" si="36"/>
        <v>35252 0 0 1 1</v>
      </c>
    </row>
    <row r="192" spans="3:22">
      <c r="C192">
        <v>4583</v>
      </c>
      <c r="D192">
        <f ca="1" t="shared" si="40"/>
        <v>35481</v>
      </c>
      <c r="E192" cm="1">
        <f ca="1" t="array" ref="E192">INDEX(C:C,MATCH(MIN(ABS(C:C-D192)),ABS(C:C-D192),0))</f>
        <v>35483</v>
      </c>
      <c r="F192">
        <f t="shared" si="38"/>
        <v>9</v>
      </c>
      <c r="G192">
        <f ca="1" t="shared" si="39"/>
        <v>231</v>
      </c>
      <c r="H192">
        <v>4</v>
      </c>
      <c r="I192">
        <v>3</v>
      </c>
      <c r="J192">
        <v>2</v>
      </c>
      <c r="K192">
        <v>1</v>
      </c>
      <c r="L192" cm="1">
        <f t="array" ref="L192:O192">_xlfn.SORTBY($R$3:$U$3,H192:K192)</f>
        <v>1</v>
      </c>
      <c r="M192">
        <v>1</v>
      </c>
      <c r="N192">
        <v>0</v>
      </c>
      <c r="O192">
        <v>0</v>
      </c>
      <c r="P192" t="str">
        <f ca="1" t="shared" si="35"/>
        <v>35483 1 1 0 0</v>
      </c>
      <c r="R192">
        <v>1</v>
      </c>
      <c r="S192">
        <v>0</v>
      </c>
      <c r="T192">
        <v>0</v>
      </c>
      <c r="U192">
        <v>0</v>
      </c>
      <c r="V192" t="str">
        <f ca="1" t="shared" si="36"/>
        <v>35483 1 0 0 0</v>
      </c>
    </row>
    <row r="193" spans="3:22">
      <c r="C193">
        <v>4606</v>
      </c>
      <c r="D193">
        <f ca="1" t="shared" si="40"/>
        <v>35712</v>
      </c>
      <c r="E193" cm="1">
        <f ca="1" t="array" ref="E193">INDEX(C:C,MATCH(MIN(ABS(C:C-D193)),ABS(C:C-D193),0))</f>
        <v>35713</v>
      </c>
      <c r="F193">
        <f t="shared" si="38"/>
        <v>9</v>
      </c>
      <c r="G193">
        <f ca="1" t="shared" si="39"/>
        <v>230</v>
      </c>
      <c r="H193">
        <v>1</v>
      </c>
      <c r="I193">
        <v>3</v>
      </c>
      <c r="J193">
        <v>2</v>
      </c>
      <c r="K193">
        <v>4</v>
      </c>
      <c r="L193" cm="1">
        <f t="array" ref="L193:O193">_xlfn.SORTBY($R$3:$U$3,H193:K193)</f>
        <v>0</v>
      </c>
      <c r="M193">
        <v>1</v>
      </c>
      <c r="N193">
        <v>0</v>
      </c>
      <c r="O193">
        <v>1</v>
      </c>
      <c r="P193" t="str">
        <f ca="1" t="shared" ref="P193:P224" si="41">E193&amp;" "&amp;L193&amp;" "&amp;M193&amp;" "&amp;N193&amp;" "&amp;O193</f>
        <v>35713 0 1 0 1</v>
      </c>
      <c r="R193">
        <v>0</v>
      </c>
      <c r="S193">
        <v>0</v>
      </c>
      <c r="T193">
        <v>0</v>
      </c>
      <c r="U193">
        <v>1</v>
      </c>
      <c r="V193" t="str">
        <f ca="1" t="shared" ref="V193:V224" si="42">E193&amp;" "&amp;R193&amp;" "&amp;S193&amp;" "&amp;T193&amp;" "&amp;U193</f>
        <v>35713 0 0 0 1</v>
      </c>
    </row>
    <row r="194" spans="3:22">
      <c r="C194">
        <v>4629</v>
      </c>
      <c r="D194">
        <f ca="1" t="shared" si="40"/>
        <v>35827</v>
      </c>
      <c r="E194" cm="1">
        <f ca="1" t="array" ref="E194">INDEX(C:C,MATCH(MIN(ABS(C:C-D194)),ABS(C:C-D194),0))</f>
        <v>35829</v>
      </c>
      <c r="F194">
        <f t="shared" si="38"/>
        <v>9</v>
      </c>
      <c r="G194">
        <f ca="1" t="shared" si="39"/>
        <v>116</v>
      </c>
      <c r="H194">
        <v>4</v>
      </c>
      <c r="I194">
        <v>2</v>
      </c>
      <c r="J194">
        <v>3</v>
      </c>
      <c r="K194">
        <v>1</v>
      </c>
      <c r="L194" cm="1">
        <f t="array" ref="L194:O194">_xlfn.SORTBY($R$3:$U$3,H194:K194)</f>
        <v>1</v>
      </c>
      <c r="M194">
        <v>0</v>
      </c>
      <c r="N194">
        <v>1</v>
      </c>
      <c r="O194">
        <v>0</v>
      </c>
      <c r="P194" t="str">
        <f ca="1" t="shared" si="41"/>
        <v>35829 1 0 1 0</v>
      </c>
      <c r="R194">
        <v>1</v>
      </c>
      <c r="S194">
        <v>0</v>
      </c>
      <c r="T194">
        <v>0</v>
      </c>
      <c r="U194">
        <v>0</v>
      </c>
      <c r="V194" t="str">
        <f ca="1" t="shared" si="42"/>
        <v>35829 1 0 0 0</v>
      </c>
    </row>
    <row r="195" spans="3:22">
      <c r="C195">
        <v>4652</v>
      </c>
      <c r="D195">
        <f ca="1" t="shared" si="40"/>
        <v>36058</v>
      </c>
      <c r="E195" cm="1">
        <f ca="1" t="array" ref="E195">INDEX(C:C,MATCH(MIN(ABS(C:C-D195)),ABS(C:C-D195),0))</f>
        <v>36060</v>
      </c>
      <c r="F195">
        <f t="shared" si="38"/>
        <v>9</v>
      </c>
      <c r="G195">
        <f ca="1" t="shared" si="39"/>
        <v>231</v>
      </c>
      <c r="H195">
        <v>1</v>
      </c>
      <c r="I195">
        <v>4</v>
      </c>
      <c r="J195">
        <v>3</v>
      </c>
      <c r="K195">
        <v>2</v>
      </c>
      <c r="L195" cm="1">
        <f t="array" ref="L195:O195">_xlfn.SORTBY($R$3:$U$3,H195:K195)</f>
        <v>0</v>
      </c>
      <c r="M195">
        <v>1</v>
      </c>
      <c r="N195">
        <v>1</v>
      </c>
      <c r="O195">
        <v>0</v>
      </c>
      <c r="P195" t="str">
        <f ca="1" t="shared" si="41"/>
        <v>36060 0 1 1 0</v>
      </c>
      <c r="R195">
        <v>0</v>
      </c>
      <c r="S195">
        <v>1</v>
      </c>
      <c r="T195">
        <v>0</v>
      </c>
      <c r="U195">
        <v>0</v>
      </c>
      <c r="V195" t="str">
        <f ca="1" t="shared" si="42"/>
        <v>36060 0 1 0 0</v>
      </c>
    </row>
    <row r="196" spans="3:22">
      <c r="C196">
        <v>4675</v>
      </c>
      <c r="D196">
        <f ca="1" t="shared" si="40"/>
        <v>36173</v>
      </c>
      <c r="E196" cm="1">
        <f ca="1" t="array" ref="E196">INDEX(C:C,MATCH(MIN(ABS(C:C-D196)),ABS(C:C-D196),0))</f>
        <v>36175</v>
      </c>
      <c r="F196">
        <f t="shared" si="38"/>
        <v>9</v>
      </c>
      <c r="G196">
        <f ca="1" t="shared" si="39"/>
        <v>115</v>
      </c>
      <c r="H196">
        <v>2</v>
      </c>
      <c r="I196">
        <v>3</v>
      </c>
      <c r="J196">
        <v>4</v>
      </c>
      <c r="K196">
        <v>1</v>
      </c>
      <c r="L196" cm="1">
        <f t="array" ref="L196:O196">_xlfn.SORTBY($R$3:$U$3,H196:K196)</f>
        <v>1</v>
      </c>
      <c r="M196">
        <v>0</v>
      </c>
      <c r="N196">
        <v>0</v>
      </c>
      <c r="O196">
        <v>1</v>
      </c>
      <c r="P196" t="str">
        <f ca="1" t="shared" si="41"/>
        <v>36175 1 0 0 1</v>
      </c>
      <c r="R196">
        <v>1</v>
      </c>
      <c r="S196">
        <v>0</v>
      </c>
      <c r="T196">
        <v>0</v>
      </c>
      <c r="U196">
        <v>0</v>
      </c>
      <c r="V196" t="str">
        <f ca="1" t="shared" si="42"/>
        <v>36175 1 0 0 0</v>
      </c>
    </row>
    <row r="197" spans="3:22">
      <c r="C197">
        <v>4698</v>
      </c>
      <c r="D197">
        <f ca="1" t="shared" si="40"/>
        <v>36404</v>
      </c>
      <c r="E197" cm="1">
        <f ca="1" t="array" ref="E197">INDEX(C:C,MATCH(MIN(ABS(C:C-D197)),ABS(C:C-D197),0))</f>
        <v>36406</v>
      </c>
      <c r="F197">
        <f t="shared" si="38"/>
        <v>9</v>
      </c>
      <c r="G197">
        <f ca="1" t="shared" si="39"/>
        <v>231</v>
      </c>
      <c r="H197">
        <v>2</v>
      </c>
      <c r="I197">
        <v>1</v>
      </c>
      <c r="J197">
        <v>4</v>
      </c>
      <c r="K197">
        <v>3</v>
      </c>
      <c r="L197" cm="1">
        <f t="array" ref="L197:O197">_xlfn.SORTBY($R$3:$U$3,H197:K197)</f>
        <v>0</v>
      </c>
      <c r="M197">
        <v>0</v>
      </c>
      <c r="N197">
        <v>1</v>
      </c>
      <c r="O197">
        <v>1</v>
      </c>
      <c r="P197" t="str">
        <f ca="1" t="shared" si="41"/>
        <v>36406 0 0 1 1</v>
      </c>
      <c r="R197">
        <v>0</v>
      </c>
      <c r="S197">
        <v>0</v>
      </c>
      <c r="T197">
        <v>1</v>
      </c>
      <c r="U197">
        <v>0</v>
      </c>
      <c r="V197" t="str">
        <f ca="1" t="shared" si="42"/>
        <v>36406 0 0 1 0</v>
      </c>
    </row>
    <row r="198" spans="3:22">
      <c r="C198">
        <v>4721</v>
      </c>
      <c r="D198">
        <f ca="1" t="shared" si="40"/>
        <v>36519</v>
      </c>
      <c r="E198" cm="1">
        <f ca="1" t="array" ref="E198">INDEX(C:C,MATCH(MIN(ABS(C:C-D198)),ABS(C:C-D198),0))</f>
        <v>36521</v>
      </c>
      <c r="F198">
        <f t="shared" si="38"/>
        <v>9</v>
      </c>
      <c r="G198">
        <f ca="1" t="shared" si="39"/>
        <v>115</v>
      </c>
      <c r="H198">
        <v>3</v>
      </c>
      <c r="I198">
        <v>4</v>
      </c>
      <c r="J198">
        <v>1</v>
      </c>
      <c r="K198">
        <v>2</v>
      </c>
      <c r="L198" cm="1">
        <f t="array" ref="L198:O198">_xlfn.SORTBY($R$3:$U$3,H198:K198)</f>
        <v>1</v>
      </c>
      <c r="M198">
        <v>1</v>
      </c>
      <c r="N198">
        <v>0</v>
      </c>
      <c r="O198">
        <v>0</v>
      </c>
      <c r="P198" t="str">
        <f ca="1" t="shared" si="41"/>
        <v>36521 1 1 0 0</v>
      </c>
      <c r="R198">
        <v>0</v>
      </c>
      <c r="S198">
        <v>1</v>
      </c>
      <c r="T198">
        <v>0</v>
      </c>
      <c r="U198">
        <v>0</v>
      </c>
      <c r="V198" t="str">
        <f ca="1" t="shared" si="42"/>
        <v>36521 0 1 0 0</v>
      </c>
    </row>
    <row r="199" spans="3:22">
      <c r="C199">
        <v>4744</v>
      </c>
      <c r="D199">
        <f ca="1" t="shared" si="40"/>
        <v>36750</v>
      </c>
      <c r="E199" cm="1">
        <f ca="1" t="array" ref="E199">INDEX(C:C,MATCH(MIN(ABS(C:C-D199)),ABS(C:C-D199),0))</f>
        <v>36752</v>
      </c>
      <c r="F199">
        <f t="shared" si="38"/>
        <v>9</v>
      </c>
      <c r="G199">
        <f ca="1" t="shared" si="39"/>
        <v>231</v>
      </c>
      <c r="H199">
        <v>1</v>
      </c>
      <c r="I199">
        <v>3</v>
      </c>
      <c r="J199">
        <v>2</v>
      </c>
      <c r="K199">
        <v>4</v>
      </c>
      <c r="L199" cm="1">
        <f t="array" ref="L199:O199">_xlfn.SORTBY($R$3:$U$3,H199:K199)</f>
        <v>0</v>
      </c>
      <c r="M199">
        <v>1</v>
      </c>
      <c r="N199">
        <v>0</v>
      </c>
      <c r="O199">
        <v>1</v>
      </c>
      <c r="P199" t="str">
        <f ca="1" t="shared" si="41"/>
        <v>36752 0 1 0 1</v>
      </c>
      <c r="R199">
        <v>0</v>
      </c>
      <c r="S199">
        <v>0</v>
      </c>
      <c r="T199">
        <v>0</v>
      </c>
      <c r="U199">
        <v>1</v>
      </c>
      <c r="V199" t="str">
        <f ca="1" t="shared" si="42"/>
        <v>36752 0 0 0 1</v>
      </c>
    </row>
    <row r="200" spans="3:22">
      <c r="C200">
        <v>4767</v>
      </c>
      <c r="D200">
        <f ca="1" t="shared" si="40"/>
        <v>36865</v>
      </c>
      <c r="E200" cm="1">
        <f ca="1" t="array" ref="E200">INDEX(C:C,MATCH(MIN(ABS(C:C-D200)),ABS(C:C-D200),0))</f>
        <v>36867</v>
      </c>
      <c r="F200">
        <f t="shared" si="38"/>
        <v>9</v>
      </c>
      <c r="G200">
        <f ca="1" t="shared" si="39"/>
        <v>115</v>
      </c>
      <c r="H200">
        <v>3</v>
      </c>
      <c r="I200">
        <v>2</v>
      </c>
      <c r="J200">
        <v>4</v>
      </c>
      <c r="K200">
        <v>1</v>
      </c>
      <c r="L200" cm="1">
        <f t="array" ref="L200:O200">_xlfn.SORTBY($R$3:$U$3,H200:K200)</f>
        <v>1</v>
      </c>
      <c r="M200">
        <v>0</v>
      </c>
      <c r="N200">
        <v>0</v>
      </c>
      <c r="O200">
        <v>1</v>
      </c>
      <c r="P200" t="str">
        <f ca="1" t="shared" si="41"/>
        <v>36867 1 0 0 1</v>
      </c>
      <c r="R200">
        <v>1</v>
      </c>
      <c r="S200">
        <v>0</v>
      </c>
      <c r="T200">
        <v>0</v>
      </c>
      <c r="U200">
        <v>0</v>
      </c>
      <c r="V200" t="str">
        <f ca="1" t="shared" si="42"/>
        <v>36867 1 0 0 0</v>
      </c>
    </row>
    <row r="201" spans="3:22">
      <c r="C201">
        <v>4790</v>
      </c>
      <c r="D201">
        <f ca="1" t="shared" si="40"/>
        <v>37096</v>
      </c>
      <c r="E201" cm="1">
        <f ca="1" t="array" ref="E201">INDEX(C:C,MATCH(MIN(ABS(C:C-D201)),ABS(C:C-D201),0))</f>
        <v>37098</v>
      </c>
      <c r="F201">
        <f t="shared" si="38"/>
        <v>10</v>
      </c>
      <c r="G201">
        <f ca="1" t="shared" si="39"/>
        <v>231</v>
      </c>
      <c r="H201">
        <v>1</v>
      </c>
      <c r="I201">
        <v>2</v>
      </c>
      <c r="J201">
        <v>3</v>
      </c>
      <c r="K201">
        <v>4</v>
      </c>
      <c r="L201" cm="1">
        <f t="array" ref="L201:O201">_xlfn.SORTBY($R$3:$U$3,H201:K201)</f>
        <v>0</v>
      </c>
      <c r="M201">
        <v>0</v>
      </c>
      <c r="N201">
        <v>1</v>
      </c>
      <c r="O201">
        <v>1</v>
      </c>
      <c r="P201" t="str">
        <f ca="1" t="shared" si="41"/>
        <v>37098 0 0 1 1</v>
      </c>
      <c r="R201">
        <v>0</v>
      </c>
      <c r="S201">
        <v>0</v>
      </c>
      <c r="T201">
        <v>1</v>
      </c>
      <c r="U201">
        <v>1</v>
      </c>
      <c r="V201" t="str">
        <f ca="1" t="shared" si="42"/>
        <v>37098 0 0 1 1</v>
      </c>
    </row>
    <row r="202" spans="3:22">
      <c r="C202">
        <v>4813</v>
      </c>
      <c r="D202">
        <f ca="1" t="shared" si="40"/>
        <v>37326</v>
      </c>
      <c r="E202" cm="1">
        <f ca="1" t="array" ref="E202">INDEX(C:C,MATCH(MIN(ABS(C:C-D202)),ABS(C:C-D202),0))</f>
        <v>37329</v>
      </c>
      <c r="F202">
        <f t="shared" si="38"/>
        <v>10</v>
      </c>
      <c r="G202">
        <f ca="1" t="shared" si="39"/>
        <v>231</v>
      </c>
      <c r="H202">
        <v>4</v>
      </c>
      <c r="I202">
        <v>3</v>
      </c>
      <c r="J202">
        <v>2</v>
      </c>
      <c r="K202">
        <v>1</v>
      </c>
      <c r="L202" cm="1">
        <f t="array" ref="L202:O202">_xlfn.SORTBY($R$3:$U$3,H202:K202)</f>
        <v>1</v>
      </c>
      <c r="M202">
        <v>1</v>
      </c>
      <c r="N202">
        <v>0</v>
      </c>
      <c r="O202">
        <v>0</v>
      </c>
      <c r="P202" t="str">
        <f ca="1" t="shared" si="41"/>
        <v>37329 1 1 0 0</v>
      </c>
      <c r="R202">
        <v>1</v>
      </c>
      <c r="S202">
        <v>0</v>
      </c>
      <c r="T202">
        <v>0</v>
      </c>
      <c r="U202">
        <v>0</v>
      </c>
      <c r="V202" t="str">
        <f ca="1" t="shared" si="42"/>
        <v>37329 1 0 0 0</v>
      </c>
    </row>
    <row r="203" spans="3:22">
      <c r="C203">
        <v>4837</v>
      </c>
      <c r="D203">
        <f ca="1" t="shared" si="40"/>
        <v>37557</v>
      </c>
      <c r="E203" cm="1">
        <f ca="1" t="array" ref="E203">INDEX(C:C,MATCH(MIN(ABS(C:C-D203)),ABS(C:C-D203),0))</f>
        <v>37560</v>
      </c>
      <c r="F203">
        <f t="shared" si="38"/>
        <v>10</v>
      </c>
      <c r="G203">
        <f ca="1" t="shared" si="39"/>
        <v>231</v>
      </c>
      <c r="H203">
        <v>1</v>
      </c>
      <c r="I203">
        <v>3</v>
      </c>
      <c r="J203">
        <v>2</v>
      </c>
      <c r="K203">
        <v>4</v>
      </c>
      <c r="L203" cm="1">
        <f t="array" ref="L203:O203">_xlfn.SORTBY($R$3:$U$3,H203:K203)</f>
        <v>0</v>
      </c>
      <c r="M203">
        <v>1</v>
      </c>
      <c r="N203">
        <v>0</v>
      </c>
      <c r="O203">
        <v>1</v>
      </c>
      <c r="P203" t="str">
        <f ca="1" t="shared" si="41"/>
        <v>37560 0 1 0 1</v>
      </c>
      <c r="R203">
        <v>0</v>
      </c>
      <c r="S203">
        <v>0</v>
      </c>
      <c r="T203">
        <v>0</v>
      </c>
      <c r="U203">
        <v>1</v>
      </c>
      <c r="V203" t="str">
        <f ca="1" t="shared" si="42"/>
        <v>37560 0 0 0 1</v>
      </c>
    </row>
    <row r="204" spans="3:22">
      <c r="C204">
        <v>4860</v>
      </c>
      <c r="D204">
        <f ca="1" t="shared" si="40"/>
        <v>37673</v>
      </c>
      <c r="E204" cm="1">
        <f ca="1" t="array" ref="E204">INDEX(C:C,MATCH(MIN(ABS(C:C-D204)),ABS(C:C-D204),0))</f>
        <v>37675</v>
      </c>
      <c r="F204">
        <f t="shared" si="38"/>
        <v>10</v>
      </c>
      <c r="G204">
        <f ca="1" t="shared" si="39"/>
        <v>115</v>
      </c>
      <c r="H204">
        <v>4</v>
      </c>
      <c r="I204">
        <v>2</v>
      </c>
      <c r="J204">
        <v>3</v>
      </c>
      <c r="K204">
        <v>1</v>
      </c>
      <c r="L204" cm="1">
        <f t="array" ref="L204:O204">_xlfn.SORTBY($R$3:$U$3,H204:K204)</f>
        <v>1</v>
      </c>
      <c r="M204">
        <v>0</v>
      </c>
      <c r="N204">
        <v>1</v>
      </c>
      <c r="O204">
        <v>0</v>
      </c>
      <c r="P204" t="str">
        <f ca="1" t="shared" si="41"/>
        <v>37675 1 0 1 0</v>
      </c>
      <c r="R204">
        <v>1</v>
      </c>
      <c r="S204">
        <v>0</v>
      </c>
      <c r="T204">
        <v>0</v>
      </c>
      <c r="U204">
        <v>0</v>
      </c>
      <c r="V204" t="str">
        <f ca="1" t="shared" si="42"/>
        <v>37675 1 0 0 0</v>
      </c>
    </row>
    <row r="205" spans="3:22">
      <c r="C205">
        <v>4883</v>
      </c>
      <c r="D205">
        <f ca="1" t="shared" si="40"/>
        <v>37903</v>
      </c>
      <c r="E205" cm="1">
        <f ca="1" t="array" ref="E205">INDEX(C:C,MATCH(MIN(ABS(C:C-D205)),ABS(C:C-D205),0))</f>
        <v>37906</v>
      </c>
      <c r="F205">
        <f t="shared" si="38"/>
        <v>10</v>
      </c>
      <c r="G205">
        <f ca="1" t="shared" si="39"/>
        <v>231</v>
      </c>
      <c r="H205">
        <v>1</v>
      </c>
      <c r="I205">
        <v>4</v>
      </c>
      <c r="J205">
        <v>3</v>
      </c>
      <c r="K205">
        <v>2</v>
      </c>
      <c r="L205" cm="1">
        <f t="array" ref="L205:O205">_xlfn.SORTBY($R$3:$U$3,H205:K205)</f>
        <v>0</v>
      </c>
      <c r="M205">
        <v>1</v>
      </c>
      <c r="N205">
        <v>1</v>
      </c>
      <c r="O205">
        <v>0</v>
      </c>
      <c r="P205" t="str">
        <f ca="1" t="shared" si="41"/>
        <v>37906 0 1 1 0</v>
      </c>
      <c r="R205">
        <v>0</v>
      </c>
      <c r="S205">
        <v>1</v>
      </c>
      <c r="T205">
        <v>0</v>
      </c>
      <c r="U205">
        <v>0</v>
      </c>
      <c r="V205" t="str">
        <f ca="1" t="shared" si="42"/>
        <v>37906 0 1 0 0</v>
      </c>
    </row>
    <row r="206" spans="3:22">
      <c r="C206">
        <v>4906</v>
      </c>
      <c r="D206">
        <f ca="1" t="shared" si="40"/>
        <v>38019</v>
      </c>
      <c r="E206" cm="1">
        <f ca="1" t="array" ref="E206">INDEX(C:C,MATCH(MIN(ABS(C:C-D206)),ABS(C:C-D206),0))</f>
        <v>38021</v>
      </c>
      <c r="F206">
        <f t="shared" si="38"/>
        <v>10</v>
      </c>
      <c r="G206">
        <f ca="1" t="shared" si="39"/>
        <v>115</v>
      </c>
      <c r="H206">
        <v>2</v>
      </c>
      <c r="I206">
        <v>3</v>
      </c>
      <c r="J206">
        <v>4</v>
      </c>
      <c r="K206">
        <v>1</v>
      </c>
      <c r="L206" cm="1">
        <f t="array" ref="L206:O206">_xlfn.SORTBY($R$3:$U$3,H206:K206)</f>
        <v>1</v>
      </c>
      <c r="M206">
        <v>0</v>
      </c>
      <c r="N206">
        <v>0</v>
      </c>
      <c r="O206">
        <v>1</v>
      </c>
      <c r="P206" t="str">
        <f ca="1" t="shared" si="41"/>
        <v>38021 1 0 0 1</v>
      </c>
      <c r="R206">
        <v>1</v>
      </c>
      <c r="S206">
        <v>0</v>
      </c>
      <c r="T206">
        <v>0</v>
      </c>
      <c r="U206">
        <v>0</v>
      </c>
      <c r="V206" t="str">
        <f ca="1" t="shared" si="42"/>
        <v>38021 1 0 0 0</v>
      </c>
    </row>
    <row r="207" spans="3:22">
      <c r="C207">
        <v>4929</v>
      </c>
      <c r="D207">
        <f ca="1" t="shared" si="40"/>
        <v>38250</v>
      </c>
      <c r="E207" cm="1">
        <f ca="1" t="array" ref="E207">INDEX(C:C,MATCH(MIN(ABS(C:C-D207)),ABS(C:C-D207),0))</f>
        <v>38252</v>
      </c>
      <c r="F207">
        <f t="shared" si="38"/>
        <v>10</v>
      </c>
      <c r="G207">
        <f ca="1" t="shared" si="39"/>
        <v>231</v>
      </c>
      <c r="H207">
        <v>2</v>
      </c>
      <c r="I207">
        <v>1</v>
      </c>
      <c r="J207">
        <v>4</v>
      </c>
      <c r="K207">
        <v>3</v>
      </c>
      <c r="L207" cm="1">
        <f t="array" ref="L207:O207">_xlfn.SORTBY($R$3:$U$3,H207:K207)</f>
        <v>0</v>
      </c>
      <c r="M207">
        <v>0</v>
      </c>
      <c r="N207">
        <v>1</v>
      </c>
      <c r="O207">
        <v>1</v>
      </c>
      <c r="P207" t="str">
        <f ca="1" t="shared" si="41"/>
        <v>38252 0 0 1 1</v>
      </c>
      <c r="R207">
        <v>0</v>
      </c>
      <c r="S207">
        <v>0</v>
      </c>
      <c r="T207">
        <v>1</v>
      </c>
      <c r="U207">
        <v>0</v>
      </c>
      <c r="V207" t="str">
        <f ca="1" t="shared" si="42"/>
        <v>38252 0 0 1 0</v>
      </c>
    </row>
    <row r="208" spans="3:22">
      <c r="C208">
        <v>4952</v>
      </c>
      <c r="D208">
        <f ca="1" t="shared" si="40"/>
        <v>38365</v>
      </c>
      <c r="E208" cm="1">
        <f ca="1" t="array" ref="E208">INDEX(C:C,MATCH(MIN(ABS(C:C-D208)),ABS(C:C-D208),0))</f>
        <v>38367</v>
      </c>
      <c r="F208">
        <f t="shared" si="38"/>
        <v>10</v>
      </c>
      <c r="G208">
        <f ca="1" t="shared" si="39"/>
        <v>115</v>
      </c>
      <c r="H208">
        <v>3</v>
      </c>
      <c r="I208">
        <v>4</v>
      </c>
      <c r="J208">
        <v>1</v>
      </c>
      <c r="K208">
        <v>2</v>
      </c>
      <c r="L208" cm="1">
        <f t="array" ref="L208:O208">_xlfn.SORTBY($R$3:$U$3,H208:K208)</f>
        <v>1</v>
      </c>
      <c r="M208">
        <v>1</v>
      </c>
      <c r="N208">
        <v>0</v>
      </c>
      <c r="O208">
        <v>0</v>
      </c>
      <c r="P208" t="str">
        <f ca="1" t="shared" si="41"/>
        <v>38367 1 1 0 0</v>
      </c>
      <c r="R208">
        <v>0</v>
      </c>
      <c r="S208">
        <v>1</v>
      </c>
      <c r="T208">
        <v>0</v>
      </c>
      <c r="U208">
        <v>0</v>
      </c>
      <c r="V208" t="str">
        <f ca="1" t="shared" si="42"/>
        <v>38367 0 1 0 0</v>
      </c>
    </row>
    <row r="209" spans="3:22">
      <c r="C209">
        <v>4975</v>
      </c>
      <c r="D209">
        <f ca="1" t="shared" si="40"/>
        <v>38596</v>
      </c>
      <c r="E209" cm="1">
        <f ca="1" t="array" ref="E209">INDEX(C:C,MATCH(MIN(ABS(C:C-D209)),ABS(C:C-D209),0))</f>
        <v>38598</v>
      </c>
      <c r="F209">
        <f t="shared" si="38"/>
        <v>10</v>
      </c>
      <c r="G209">
        <f ca="1" t="shared" si="39"/>
        <v>231</v>
      </c>
      <c r="H209">
        <v>1</v>
      </c>
      <c r="I209">
        <v>3</v>
      </c>
      <c r="J209">
        <v>2</v>
      </c>
      <c r="K209">
        <v>4</v>
      </c>
      <c r="L209" cm="1">
        <f t="array" ref="L209:O209">_xlfn.SORTBY($R$3:$U$3,H209:K209)</f>
        <v>0</v>
      </c>
      <c r="M209">
        <v>1</v>
      </c>
      <c r="N209">
        <v>0</v>
      </c>
      <c r="O209">
        <v>1</v>
      </c>
      <c r="P209" t="str">
        <f ca="1" t="shared" si="41"/>
        <v>38598 0 1 0 1</v>
      </c>
      <c r="R209">
        <v>0</v>
      </c>
      <c r="S209">
        <v>0</v>
      </c>
      <c r="T209">
        <v>0</v>
      </c>
      <c r="U209">
        <v>1</v>
      </c>
      <c r="V209" t="str">
        <f ca="1" t="shared" si="42"/>
        <v>38598 0 0 0 1</v>
      </c>
    </row>
    <row r="210" spans="3:22">
      <c r="C210">
        <v>4998</v>
      </c>
      <c r="D210">
        <f ca="1" t="shared" si="40"/>
        <v>38711</v>
      </c>
      <c r="E210" cm="1">
        <f ca="1" t="array" ref="E210">INDEX(C:C,MATCH(MIN(ABS(C:C-D210)),ABS(C:C-D210),0))</f>
        <v>38713</v>
      </c>
      <c r="F210">
        <f t="shared" si="38"/>
        <v>10</v>
      </c>
      <c r="G210">
        <f ca="1" t="shared" si="39"/>
        <v>115</v>
      </c>
      <c r="H210">
        <v>3</v>
      </c>
      <c r="I210">
        <v>2</v>
      </c>
      <c r="J210">
        <v>4</v>
      </c>
      <c r="K210">
        <v>1</v>
      </c>
      <c r="L210" cm="1">
        <f t="array" ref="L210:O210">_xlfn.SORTBY($R$3:$U$3,H210:K210)</f>
        <v>1</v>
      </c>
      <c r="M210">
        <v>0</v>
      </c>
      <c r="N210">
        <v>0</v>
      </c>
      <c r="O210">
        <v>1</v>
      </c>
      <c r="P210" t="str">
        <f ca="1" t="shared" si="41"/>
        <v>38713 1 0 0 1</v>
      </c>
      <c r="R210">
        <v>1</v>
      </c>
      <c r="S210">
        <v>0</v>
      </c>
      <c r="T210">
        <v>0</v>
      </c>
      <c r="U210">
        <v>0</v>
      </c>
      <c r="V210" t="str">
        <f ca="1" t="shared" si="42"/>
        <v>38713 1 0 0 0</v>
      </c>
    </row>
    <row r="211" spans="3:22">
      <c r="C211">
        <v>5021</v>
      </c>
      <c r="D211">
        <f ca="1" t="shared" si="40"/>
        <v>38942</v>
      </c>
      <c r="E211" cm="1">
        <f ca="1" t="array" ref="E211">INDEX(C:C,MATCH(MIN(ABS(C:C-D211)),ABS(C:C-D211),0))</f>
        <v>38944</v>
      </c>
      <c r="F211">
        <f t="shared" si="38"/>
        <v>10</v>
      </c>
      <c r="G211">
        <f ca="1" t="shared" si="39"/>
        <v>231</v>
      </c>
      <c r="H211">
        <v>4</v>
      </c>
      <c r="I211">
        <v>3</v>
      </c>
      <c r="J211">
        <v>2</v>
      </c>
      <c r="K211">
        <v>1</v>
      </c>
      <c r="L211" cm="1">
        <f t="array" ref="L211:O211">_xlfn.SORTBY($R$3:$U$3,H211:K211)</f>
        <v>1</v>
      </c>
      <c r="M211">
        <v>1</v>
      </c>
      <c r="N211">
        <v>0</v>
      </c>
      <c r="O211">
        <v>0</v>
      </c>
      <c r="P211" t="str">
        <f ca="1" t="shared" si="41"/>
        <v>38944 1 1 0 0</v>
      </c>
      <c r="R211">
        <v>1</v>
      </c>
      <c r="S211">
        <v>1</v>
      </c>
      <c r="T211">
        <v>0</v>
      </c>
      <c r="U211">
        <v>0</v>
      </c>
      <c r="V211" t="str">
        <f ca="1" t="shared" si="42"/>
        <v>38944 1 1 0 0</v>
      </c>
    </row>
    <row r="212" spans="3:22">
      <c r="C212">
        <v>5044</v>
      </c>
      <c r="D212">
        <f ca="1" t="shared" si="40"/>
        <v>39173</v>
      </c>
      <c r="E212" cm="1">
        <f ca="1" t="array" ref="E212">INDEX(C:C,MATCH(MIN(ABS(C:C-D212)),ABS(C:C-D212),0))</f>
        <v>39175</v>
      </c>
      <c r="F212">
        <f t="shared" ref="F212:F243" si="43">ROUNDDOWN((ROW(F212)-1)/20,0)</f>
        <v>10</v>
      </c>
      <c r="G212">
        <f ca="1" t="shared" ref="G212:G243" si="44">E212-E211</f>
        <v>231</v>
      </c>
      <c r="H212">
        <v>1</v>
      </c>
      <c r="I212">
        <v>2</v>
      </c>
      <c r="J212">
        <v>3</v>
      </c>
      <c r="K212">
        <v>4</v>
      </c>
      <c r="L212" cm="1">
        <f t="array" ref="L212:O212">_xlfn.SORTBY($R$3:$U$3,H212:K212)</f>
        <v>0</v>
      </c>
      <c r="M212">
        <v>0</v>
      </c>
      <c r="N212">
        <v>1</v>
      </c>
      <c r="O212">
        <v>1</v>
      </c>
      <c r="P212" t="str">
        <f ca="1" t="shared" si="41"/>
        <v>39175 0 0 1 1</v>
      </c>
      <c r="R212">
        <v>0</v>
      </c>
      <c r="S212">
        <v>0</v>
      </c>
      <c r="T212">
        <v>0</v>
      </c>
      <c r="U212">
        <v>1</v>
      </c>
      <c r="V212" t="str">
        <f ca="1" t="shared" si="42"/>
        <v>39175 0 0 0 1</v>
      </c>
    </row>
    <row r="213" spans="3:22">
      <c r="C213">
        <v>5067</v>
      </c>
      <c r="D213">
        <f ca="1" t="shared" ref="D213:D244" si="45">B$1+OFFSET(D213,-20,0,1,1)</f>
        <v>39404</v>
      </c>
      <c r="E213" cm="1">
        <f ca="1" t="array" ref="E213">INDEX(C:C,MATCH(MIN(ABS(C:C-D213)),ABS(C:C-D213),0))</f>
        <v>39406</v>
      </c>
      <c r="F213">
        <f t="shared" si="43"/>
        <v>10</v>
      </c>
      <c r="G213">
        <f ca="1" t="shared" si="44"/>
        <v>231</v>
      </c>
      <c r="H213">
        <v>4</v>
      </c>
      <c r="I213">
        <v>2</v>
      </c>
      <c r="J213">
        <v>3</v>
      </c>
      <c r="K213">
        <v>1</v>
      </c>
      <c r="L213" cm="1">
        <f t="array" ref="L213:O213">_xlfn.SORTBY($R$3:$U$3,H213:K213)</f>
        <v>1</v>
      </c>
      <c r="M213">
        <v>0</v>
      </c>
      <c r="N213">
        <v>1</v>
      </c>
      <c r="O213">
        <v>0</v>
      </c>
      <c r="P213" t="str">
        <f ca="1" t="shared" si="41"/>
        <v>39406 1 0 1 0</v>
      </c>
      <c r="R213">
        <v>1</v>
      </c>
      <c r="S213">
        <v>0</v>
      </c>
      <c r="T213">
        <v>0</v>
      </c>
      <c r="U213">
        <v>0</v>
      </c>
      <c r="V213" t="str">
        <f ca="1" t="shared" si="42"/>
        <v>39406 1 0 0 0</v>
      </c>
    </row>
    <row r="214" spans="3:22">
      <c r="C214">
        <v>5090</v>
      </c>
      <c r="D214">
        <f ca="1" t="shared" si="45"/>
        <v>39519</v>
      </c>
      <c r="E214" cm="1">
        <f ca="1" t="array" ref="E214">INDEX(C:C,MATCH(MIN(ABS(C:C-D214)),ABS(C:C-D214),0))</f>
        <v>39521</v>
      </c>
      <c r="F214">
        <f t="shared" si="43"/>
        <v>10</v>
      </c>
      <c r="G214">
        <f ca="1" t="shared" si="44"/>
        <v>115</v>
      </c>
      <c r="H214">
        <v>1</v>
      </c>
      <c r="I214">
        <v>3</v>
      </c>
      <c r="J214">
        <v>2</v>
      </c>
      <c r="K214">
        <v>4</v>
      </c>
      <c r="L214" cm="1">
        <f t="array" ref="L214:O214">_xlfn.SORTBY($R$3:$U$3,H214:K214)</f>
        <v>0</v>
      </c>
      <c r="M214">
        <v>1</v>
      </c>
      <c r="N214">
        <v>0</v>
      </c>
      <c r="O214">
        <v>1</v>
      </c>
      <c r="P214" t="str">
        <f ca="1" t="shared" si="41"/>
        <v>39521 0 1 0 1</v>
      </c>
      <c r="R214">
        <v>0</v>
      </c>
      <c r="S214">
        <v>0</v>
      </c>
      <c r="T214">
        <v>0</v>
      </c>
      <c r="U214">
        <v>1</v>
      </c>
      <c r="V214" t="str">
        <f ca="1" t="shared" si="42"/>
        <v>39521 0 0 0 1</v>
      </c>
    </row>
    <row r="215" spans="3:22">
      <c r="C215">
        <v>5113</v>
      </c>
      <c r="D215">
        <f ca="1" t="shared" si="45"/>
        <v>39750</v>
      </c>
      <c r="E215" cm="1">
        <f ca="1" t="array" ref="E215">INDEX(C:C,MATCH(MIN(ABS(C:C-D215)),ABS(C:C-D215),0))</f>
        <v>39752</v>
      </c>
      <c r="F215">
        <f t="shared" si="43"/>
        <v>10</v>
      </c>
      <c r="G215">
        <f ca="1" t="shared" si="44"/>
        <v>231</v>
      </c>
      <c r="H215">
        <v>2</v>
      </c>
      <c r="I215">
        <v>3</v>
      </c>
      <c r="J215">
        <v>4</v>
      </c>
      <c r="K215">
        <v>1</v>
      </c>
      <c r="L215" cm="1">
        <f t="array" ref="L215:O215">_xlfn.SORTBY($R$3:$U$3,H215:K215)</f>
        <v>1</v>
      </c>
      <c r="M215">
        <v>0</v>
      </c>
      <c r="N215">
        <v>0</v>
      </c>
      <c r="O215">
        <v>1</v>
      </c>
      <c r="P215" t="str">
        <f ca="1" t="shared" si="41"/>
        <v>39752 1 0 0 1</v>
      </c>
      <c r="R215">
        <v>1</v>
      </c>
      <c r="S215">
        <v>0</v>
      </c>
      <c r="T215">
        <v>0</v>
      </c>
      <c r="U215">
        <v>0</v>
      </c>
      <c r="V215" t="str">
        <f ca="1" t="shared" si="42"/>
        <v>39752 1 0 0 0</v>
      </c>
    </row>
    <row r="216" spans="3:22">
      <c r="C216">
        <v>5137</v>
      </c>
      <c r="D216">
        <f ca="1" t="shared" si="45"/>
        <v>39865</v>
      </c>
      <c r="E216" cm="1">
        <f ca="1" t="array" ref="E216">INDEX(C:C,MATCH(MIN(ABS(C:C-D216)),ABS(C:C-D216),0))</f>
        <v>39867</v>
      </c>
      <c r="F216">
        <f t="shared" si="43"/>
        <v>10</v>
      </c>
      <c r="G216">
        <f ca="1" t="shared" si="44"/>
        <v>115</v>
      </c>
      <c r="H216">
        <v>1</v>
      </c>
      <c r="I216">
        <v>4</v>
      </c>
      <c r="J216">
        <v>3</v>
      </c>
      <c r="K216">
        <v>2</v>
      </c>
      <c r="L216" cm="1">
        <f t="array" ref="L216:O216">_xlfn.SORTBY($R$3:$U$3,H216:K216)</f>
        <v>0</v>
      </c>
      <c r="M216">
        <v>1</v>
      </c>
      <c r="N216">
        <v>1</v>
      </c>
      <c r="O216">
        <v>0</v>
      </c>
      <c r="P216" t="str">
        <f ca="1" t="shared" si="41"/>
        <v>39867 0 1 1 0</v>
      </c>
      <c r="R216">
        <v>0</v>
      </c>
      <c r="S216">
        <v>1</v>
      </c>
      <c r="T216">
        <v>0</v>
      </c>
      <c r="U216">
        <v>0</v>
      </c>
      <c r="V216" t="str">
        <f ca="1" t="shared" si="42"/>
        <v>39867 0 1 0 0</v>
      </c>
    </row>
    <row r="217" spans="3:22">
      <c r="C217">
        <v>5160</v>
      </c>
      <c r="D217">
        <f ca="1" t="shared" si="45"/>
        <v>40096</v>
      </c>
      <c r="E217" cm="1">
        <f ca="1" t="array" ref="E217">INDEX(C:C,MATCH(MIN(ABS(C:C-D217)),ABS(C:C-D217),0))</f>
        <v>40098</v>
      </c>
      <c r="F217">
        <f t="shared" si="43"/>
        <v>10</v>
      </c>
      <c r="G217">
        <f ca="1" t="shared" si="44"/>
        <v>231</v>
      </c>
      <c r="H217">
        <v>3</v>
      </c>
      <c r="I217">
        <v>4</v>
      </c>
      <c r="J217">
        <v>1</v>
      </c>
      <c r="K217">
        <v>2</v>
      </c>
      <c r="L217" cm="1">
        <f t="array" ref="L217:O217">_xlfn.SORTBY($R$3:$U$3,H217:K217)</f>
        <v>1</v>
      </c>
      <c r="M217">
        <v>1</v>
      </c>
      <c r="N217">
        <v>0</v>
      </c>
      <c r="O217">
        <v>0</v>
      </c>
      <c r="P217" t="str">
        <f ca="1" t="shared" si="41"/>
        <v>40098 1 1 0 0</v>
      </c>
      <c r="R217">
        <v>0</v>
      </c>
      <c r="S217">
        <v>1</v>
      </c>
      <c r="T217">
        <v>0</v>
      </c>
      <c r="U217">
        <v>0</v>
      </c>
      <c r="V217" t="str">
        <f ca="1" t="shared" si="42"/>
        <v>40098 0 1 0 0</v>
      </c>
    </row>
    <row r="218" spans="3:22">
      <c r="C218">
        <v>5183</v>
      </c>
      <c r="D218">
        <f ca="1" t="shared" si="45"/>
        <v>40211</v>
      </c>
      <c r="E218" cm="1">
        <f ca="1" t="array" ref="E218">INDEX(C:C,MATCH(MIN(ABS(C:C-D218)),ABS(C:C-D218),0))</f>
        <v>40213</v>
      </c>
      <c r="F218">
        <f t="shared" si="43"/>
        <v>10</v>
      </c>
      <c r="G218">
        <f ca="1" t="shared" si="44"/>
        <v>115</v>
      </c>
      <c r="H218">
        <v>2</v>
      </c>
      <c r="I218">
        <v>1</v>
      </c>
      <c r="J218">
        <v>4</v>
      </c>
      <c r="K218">
        <v>3</v>
      </c>
      <c r="L218" cm="1">
        <f t="array" ref="L218:O218">_xlfn.SORTBY($R$3:$U$3,H218:K218)</f>
        <v>0</v>
      </c>
      <c r="M218">
        <v>0</v>
      </c>
      <c r="N218">
        <v>1</v>
      </c>
      <c r="O218">
        <v>1</v>
      </c>
      <c r="P218" t="str">
        <f ca="1" t="shared" si="41"/>
        <v>40213 0 0 1 1</v>
      </c>
      <c r="R218">
        <v>0</v>
      </c>
      <c r="S218">
        <v>0</v>
      </c>
      <c r="T218">
        <v>1</v>
      </c>
      <c r="U218">
        <v>0</v>
      </c>
      <c r="V218" t="str">
        <f ca="1" t="shared" si="42"/>
        <v>40213 0 0 1 0</v>
      </c>
    </row>
    <row r="219" spans="3:22">
      <c r="C219">
        <v>5206</v>
      </c>
      <c r="D219">
        <f ca="1" t="shared" si="45"/>
        <v>40442</v>
      </c>
      <c r="E219" cm="1">
        <f ca="1" t="array" ref="E219">INDEX(C:C,MATCH(MIN(ABS(C:C-D219)),ABS(C:C-D219),0))</f>
        <v>40444</v>
      </c>
      <c r="F219">
        <f t="shared" si="43"/>
        <v>10</v>
      </c>
      <c r="G219">
        <f ca="1" t="shared" si="44"/>
        <v>231</v>
      </c>
      <c r="H219">
        <v>3</v>
      </c>
      <c r="I219">
        <v>2</v>
      </c>
      <c r="J219">
        <v>4</v>
      </c>
      <c r="K219">
        <v>1</v>
      </c>
      <c r="L219" cm="1">
        <f t="array" ref="L219:O219">_xlfn.SORTBY($R$3:$U$3,H219:K219)</f>
        <v>1</v>
      </c>
      <c r="M219">
        <v>0</v>
      </c>
      <c r="N219">
        <v>0</v>
      </c>
      <c r="O219">
        <v>1</v>
      </c>
      <c r="P219" t="str">
        <f ca="1" t="shared" si="41"/>
        <v>40444 1 0 0 1</v>
      </c>
      <c r="R219">
        <v>1</v>
      </c>
      <c r="S219">
        <v>0</v>
      </c>
      <c r="T219">
        <v>0</v>
      </c>
      <c r="U219">
        <v>0</v>
      </c>
      <c r="V219" t="str">
        <f ca="1" t="shared" si="42"/>
        <v>40444 1 0 0 0</v>
      </c>
    </row>
    <row r="220" spans="3:22">
      <c r="C220">
        <v>5229</v>
      </c>
      <c r="D220">
        <f ca="1" t="shared" si="45"/>
        <v>40557</v>
      </c>
      <c r="E220" cm="1">
        <f ca="1" t="array" ref="E220">INDEX(C:C,MATCH(MIN(ABS(C:C-D220)),ABS(C:C-D220),0))</f>
        <v>40560</v>
      </c>
      <c r="F220">
        <f t="shared" si="43"/>
        <v>10</v>
      </c>
      <c r="G220">
        <f ca="1" t="shared" si="44"/>
        <v>116</v>
      </c>
      <c r="H220">
        <v>1</v>
      </c>
      <c r="I220">
        <v>3</v>
      </c>
      <c r="J220">
        <v>2</v>
      </c>
      <c r="K220">
        <v>4</v>
      </c>
      <c r="L220" cm="1">
        <f t="array" ref="L220:O220">_xlfn.SORTBY($R$3:$U$3,H220:K220)</f>
        <v>0</v>
      </c>
      <c r="M220">
        <v>1</v>
      </c>
      <c r="N220">
        <v>0</v>
      </c>
      <c r="O220">
        <v>1</v>
      </c>
      <c r="P220" t="str">
        <f ca="1" t="shared" si="41"/>
        <v>40560 0 1 0 1</v>
      </c>
      <c r="R220">
        <v>0</v>
      </c>
      <c r="S220">
        <v>0</v>
      </c>
      <c r="T220">
        <v>0</v>
      </c>
      <c r="U220">
        <v>1</v>
      </c>
      <c r="V220" t="str">
        <f ca="1" t="shared" si="42"/>
        <v>40560 0 0 0 1</v>
      </c>
    </row>
    <row r="221" spans="3:22">
      <c r="C221">
        <v>5252</v>
      </c>
      <c r="D221">
        <f ca="1" t="shared" si="45"/>
        <v>40788</v>
      </c>
      <c r="E221" cm="1">
        <f ca="1" t="array" ref="E221">INDEX(C:C,MATCH(MIN(ABS(C:C-D221)),ABS(C:C-D221),0))</f>
        <v>40790</v>
      </c>
      <c r="F221">
        <f t="shared" si="43"/>
        <v>11</v>
      </c>
      <c r="G221">
        <f ca="1" t="shared" si="44"/>
        <v>230</v>
      </c>
      <c r="H221">
        <v>4</v>
      </c>
      <c r="I221">
        <v>3</v>
      </c>
      <c r="J221">
        <v>2</v>
      </c>
      <c r="K221">
        <v>1</v>
      </c>
      <c r="L221" cm="1">
        <f t="array" ref="L221:O221">_xlfn.SORTBY($R$3:$U$3,H221:K221)</f>
        <v>1</v>
      </c>
      <c r="M221">
        <v>1</v>
      </c>
      <c r="N221">
        <v>0</v>
      </c>
      <c r="O221">
        <v>0</v>
      </c>
      <c r="P221" t="str">
        <f ca="1" t="shared" si="41"/>
        <v>40790 1 1 0 0</v>
      </c>
      <c r="R221">
        <v>1</v>
      </c>
      <c r="S221">
        <v>1</v>
      </c>
      <c r="T221">
        <v>0</v>
      </c>
      <c r="U221">
        <v>0</v>
      </c>
      <c r="V221" t="str">
        <f ca="1" t="shared" si="42"/>
        <v>40790 1 1 0 0</v>
      </c>
    </row>
    <row r="222" spans="3:22">
      <c r="C222">
        <v>5275</v>
      </c>
      <c r="D222">
        <f ca="1" t="shared" si="45"/>
        <v>41018</v>
      </c>
      <c r="E222" cm="1">
        <f ca="1" t="array" ref="E222">INDEX(C:C,MATCH(MIN(ABS(C:C-D222)),ABS(C:C-D222),0))</f>
        <v>41021</v>
      </c>
      <c r="F222">
        <f t="shared" si="43"/>
        <v>11</v>
      </c>
      <c r="G222">
        <f ca="1" t="shared" si="44"/>
        <v>231</v>
      </c>
      <c r="H222">
        <v>1</v>
      </c>
      <c r="I222">
        <v>2</v>
      </c>
      <c r="J222">
        <v>3</v>
      </c>
      <c r="K222">
        <v>4</v>
      </c>
      <c r="L222" cm="1">
        <f t="array" ref="L222:O222">_xlfn.SORTBY($R$3:$U$3,H222:K222)</f>
        <v>0</v>
      </c>
      <c r="M222">
        <v>0</v>
      </c>
      <c r="N222">
        <v>1</v>
      </c>
      <c r="O222">
        <v>1</v>
      </c>
      <c r="P222" t="str">
        <f ca="1" t="shared" si="41"/>
        <v>41021 0 0 1 1</v>
      </c>
      <c r="R222">
        <v>0</v>
      </c>
      <c r="S222">
        <v>0</v>
      </c>
      <c r="T222">
        <v>0</v>
      </c>
      <c r="U222">
        <v>1</v>
      </c>
      <c r="V222" t="str">
        <f ca="1" t="shared" si="42"/>
        <v>41021 0 0 0 1</v>
      </c>
    </row>
    <row r="223" spans="3:22">
      <c r="C223">
        <v>5298</v>
      </c>
      <c r="D223">
        <f ca="1" t="shared" si="45"/>
        <v>41249</v>
      </c>
      <c r="E223" cm="1">
        <f ca="1" t="array" ref="E223">INDEX(C:C,MATCH(MIN(ABS(C:C-D223)),ABS(C:C-D223),0))</f>
        <v>41252</v>
      </c>
      <c r="F223">
        <f t="shared" si="43"/>
        <v>11</v>
      </c>
      <c r="G223">
        <f ca="1" t="shared" si="44"/>
        <v>231</v>
      </c>
      <c r="H223">
        <v>4</v>
      </c>
      <c r="I223">
        <v>2</v>
      </c>
      <c r="J223">
        <v>3</v>
      </c>
      <c r="K223">
        <v>1</v>
      </c>
      <c r="L223" cm="1">
        <f t="array" ref="L223:O223">_xlfn.SORTBY($R$3:$U$3,H223:K223)</f>
        <v>1</v>
      </c>
      <c r="M223">
        <v>0</v>
      </c>
      <c r="N223">
        <v>1</v>
      </c>
      <c r="O223">
        <v>0</v>
      </c>
      <c r="P223" t="str">
        <f ca="1" t="shared" si="41"/>
        <v>41252 1 0 1 0</v>
      </c>
      <c r="R223">
        <v>1</v>
      </c>
      <c r="S223">
        <v>0</v>
      </c>
      <c r="T223">
        <v>0</v>
      </c>
      <c r="U223">
        <v>0</v>
      </c>
      <c r="V223" t="str">
        <f ca="1" t="shared" si="42"/>
        <v>41252 1 0 0 0</v>
      </c>
    </row>
    <row r="224" spans="3:22">
      <c r="C224">
        <v>5321</v>
      </c>
      <c r="D224">
        <f ca="1" t="shared" si="45"/>
        <v>41365</v>
      </c>
      <c r="E224" cm="1">
        <f ca="1" t="array" ref="E224">INDEX(C:C,MATCH(MIN(ABS(C:C-D224)),ABS(C:C-D224),0))</f>
        <v>41367</v>
      </c>
      <c r="F224">
        <f t="shared" si="43"/>
        <v>11</v>
      </c>
      <c r="G224">
        <f ca="1" t="shared" si="44"/>
        <v>115</v>
      </c>
      <c r="H224">
        <v>1</v>
      </c>
      <c r="I224">
        <v>3</v>
      </c>
      <c r="J224">
        <v>2</v>
      </c>
      <c r="K224">
        <v>4</v>
      </c>
      <c r="L224" cm="1">
        <f t="array" ref="L224:O224">_xlfn.SORTBY($R$3:$U$3,H224:K224)</f>
        <v>0</v>
      </c>
      <c r="M224">
        <v>1</v>
      </c>
      <c r="N224">
        <v>0</v>
      </c>
      <c r="O224">
        <v>1</v>
      </c>
      <c r="P224" t="str">
        <f ca="1" t="shared" si="41"/>
        <v>41367 0 1 0 1</v>
      </c>
      <c r="R224">
        <v>0</v>
      </c>
      <c r="S224">
        <v>0</v>
      </c>
      <c r="T224">
        <v>0</v>
      </c>
      <c r="U224">
        <v>1</v>
      </c>
      <c r="V224" t="str">
        <f ca="1" t="shared" si="42"/>
        <v>41367 0 0 0 1</v>
      </c>
    </row>
    <row r="225" spans="3:22">
      <c r="C225">
        <v>5344</v>
      </c>
      <c r="D225">
        <f ca="1" t="shared" si="45"/>
        <v>41595</v>
      </c>
      <c r="E225" cm="1">
        <f ca="1" t="array" ref="E225">INDEX(C:C,MATCH(MIN(ABS(C:C-D225)),ABS(C:C-D225),0))</f>
        <v>41598</v>
      </c>
      <c r="F225">
        <f t="shared" si="43"/>
        <v>11</v>
      </c>
      <c r="G225">
        <f ca="1" t="shared" si="44"/>
        <v>231</v>
      </c>
      <c r="H225">
        <v>2</v>
      </c>
      <c r="I225">
        <v>3</v>
      </c>
      <c r="J225">
        <v>4</v>
      </c>
      <c r="K225">
        <v>1</v>
      </c>
      <c r="L225" cm="1">
        <f t="array" ref="L225:O225">_xlfn.SORTBY($R$3:$U$3,H225:K225)</f>
        <v>1</v>
      </c>
      <c r="M225">
        <v>0</v>
      </c>
      <c r="N225">
        <v>0</v>
      </c>
      <c r="O225">
        <v>1</v>
      </c>
      <c r="P225" t="str">
        <f ca="1" t="shared" ref="P225:P256" si="46">E225&amp;" "&amp;L225&amp;" "&amp;M225&amp;" "&amp;N225&amp;" "&amp;O225</f>
        <v>41598 1 0 0 1</v>
      </c>
      <c r="R225">
        <v>1</v>
      </c>
      <c r="S225">
        <v>0</v>
      </c>
      <c r="T225">
        <v>0</v>
      </c>
      <c r="U225">
        <v>0</v>
      </c>
      <c r="V225" t="str">
        <f ca="1" t="shared" ref="V225:V256" si="47">E225&amp;" "&amp;R225&amp;" "&amp;S225&amp;" "&amp;T225&amp;" "&amp;U225</f>
        <v>41598 1 0 0 0</v>
      </c>
    </row>
    <row r="226" spans="3:22">
      <c r="C226">
        <v>5367</v>
      </c>
      <c r="D226">
        <f ca="1" t="shared" si="45"/>
        <v>41711</v>
      </c>
      <c r="E226" cm="1">
        <f ca="1" t="array" ref="E226">INDEX(C:C,MATCH(MIN(ABS(C:C-D226)),ABS(C:C-D226),0))</f>
        <v>41713</v>
      </c>
      <c r="F226">
        <f t="shared" si="43"/>
        <v>11</v>
      </c>
      <c r="G226">
        <f ca="1" t="shared" si="44"/>
        <v>115</v>
      </c>
      <c r="H226">
        <v>1</v>
      </c>
      <c r="I226">
        <v>4</v>
      </c>
      <c r="J226">
        <v>3</v>
      </c>
      <c r="K226">
        <v>2</v>
      </c>
      <c r="L226" cm="1">
        <f t="array" ref="L226:O226">_xlfn.SORTBY($R$3:$U$3,H226:K226)</f>
        <v>0</v>
      </c>
      <c r="M226">
        <v>1</v>
      </c>
      <c r="N226">
        <v>1</v>
      </c>
      <c r="O226">
        <v>0</v>
      </c>
      <c r="P226" t="str">
        <f ca="1" t="shared" si="46"/>
        <v>41713 0 1 1 0</v>
      </c>
      <c r="R226">
        <v>0</v>
      </c>
      <c r="S226">
        <v>1</v>
      </c>
      <c r="T226">
        <v>0</v>
      </c>
      <c r="U226">
        <v>0</v>
      </c>
      <c r="V226" t="str">
        <f ca="1" t="shared" si="47"/>
        <v>41713 0 1 0 0</v>
      </c>
    </row>
    <row r="227" spans="3:22">
      <c r="C227">
        <v>5390</v>
      </c>
      <c r="D227">
        <f ca="1" t="shared" si="45"/>
        <v>41942</v>
      </c>
      <c r="E227" cm="1">
        <f ca="1" t="array" ref="E227">INDEX(C:C,MATCH(MIN(ABS(C:C-D227)),ABS(C:C-D227),0))</f>
        <v>41944</v>
      </c>
      <c r="F227">
        <f t="shared" si="43"/>
        <v>11</v>
      </c>
      <c r="G227">
        <f ca="1" t="shared" si="44"/>
        <v>231</v>
      </c>
      <c r="H227">
        <v>3</v>
      </c>
      <c r="I227">
        <v>4</v>
      </c>
      <c r="J227">
        <v>1</v>
      </c>
      <c r="K227">
        <v>2</v>
      </c>
      <c r="L227" cm="1">
        <f t="array" ref="L227:O227">_xlfn.SORTBY($R$3:$U$3,H227:K227)</f>
        <v>1</v>
      </c>
      <c r="M227">
        <v>1</v>
      </c>
      <c r="N227">
        <v>0</v>
      </c>
      <c r="O227">
        <v>0</v>
      </c>
      <c r="P227" t="str">
        <f ca="1" t="shared" si="46"/>
        <v>41944 1 1 0 0</v>
      </c>
      <c r="R227">
        <v>0</v>
      </c>
      <c r="S227">
        <v>1</v>
      </c>
      <c r="T227">
        <v>0</v>
      </c>
      <c r="U227">
        <v>0</v>
      </c>
      <c r="V227" t="str">
        <f ca="1" t="shared" si="47"/>
        <v>41944 0 1 0 0</v>
      </c>
    </row>
    <row r="228" spans="3:22">
      <c r="C228">
        <v>5413</v>
      </c>
      <c r="D228">
        <f ca="1" t="shared" si="45"/>
        <v>42057</v>
      </c>
      <c r="E228" cm="1">
        <f ca="1" t="array" ref="E228">INDEX(C:C,MATCH(MIN(ABS(C:C-D228)),ABS(C:C-D228),0))</f>
        <v>42060</v>
      </c>
      <c r="F228">
        <f t="shared" si="43"/>
        <v>11</v>
      </c>
      <c r="G228">
        <f ca="1" t="shared" si="44"/>
        <v>116</v>
      </c>
      <c r="H228">
        <v>2</v>
      </c>
      <c r="I228">
        <v>1</v>
      </c>
      <c r="J228">
        <v>4</v>
      </c>
      <c r="K228">
        <v>3</v>
      </c>
      <c r="L228" cm="1">
        <f t="array" ref="L228:O228">_xlfn.SORTBY($R$3:$U$3,H228:K228)</f>
        <v>0</v>
      </c>
      <c r="M228">
        <v>0</v>
      </c>
      <c r="N228">
        <v>1</v>
      </c>
      <c r="O228">
        <v>1</v>
      </c>
      <c r="P228" t="str">
        <f ca="1" t="shared" si="46"/>
        <v>42060 0 0 1 1</v>
      </c>
      <c r="R228">
        <v>0</v>
      </c>
      <c r="S228">
        <v>0</v>
      </c>
      <c r="T228">
        <v>1</v>
      </c>
      <c r="U228">
        <v>0</v>
      </c>
      <c r="V228" t="str">
        <f ca="1" t="shared" si="47"/>
        <v>42060 0 0 1 0</v>
      </c>
    </row>
    <row r="229" spans="3:22">
      <c r="C229">
        <v>5437</v>
      </c>
      <c r="D229">
        <f ca="1" t="shared" si="45"/>
        <v>42288</v>
      </c>
      <c r="E229" cm="1">
        <f ca="1" t="array" ref="E229">INDEX(C:C,MATCH(MIN(ABS(C:C-D229)),ABS(C:C-D229),0))</f>
        <v>42290</v>
      </c>
      <c r="F229">
        <f t="shared" si="43"/>
        <v>11</v>
      </c>
      <c r="G229">
        <f ca="1" t="shared" si="44"/>
        <v>230</v>
      </c>
      <c r="H229">
        <v>3</v>
      </c>
      <c r="I229">
        <v>2</v>
      </c>
      <c r="J229">
        <v>4</v>
      </c>
      <c r="K229">
        <v>1</v>
      </c>
      <c r="L229" cm="1">
        <f t="array" ref="L229:O229">_xlfn.SORTBY($R$3:$U$3,H229:K229)</f>
        <v>1</v>
      </c>
      <c r="M229">
        <v>0</v>
      </c>
      <c r="N229">
        <v>0</v>
      </c>
      <c r="O229">
        <v>1</v>
      </c>
      <c r="P229" t="str">
        <f ca="1" t="shared" si="46"/>
        <v>42290 1 0 0 1</v>
      </c>
      <c r="R229">
        <v>1</v>
      </c>
      <c r="S229">
        <v>0</v>
      </c>
      <c r="T229">
        <v>0</v>
      </c>
      <c r="U229">
        <v>0</v>
      </c>
      <c r="V229" t="str">
        <f ca="1" t="shared" si="47"/>
        <v>42290 1 0 0 0</v>
      </c>
    </row>
    <row r="230" spans="3:22">
      <c r="C230">
        <v>5460</v>
      </c>
      <c r="D230">
        <f ca="1" t="shared" si="45"/>
        <v>42403</v>
      </c>
      <c r="E230" cm="1">
        <f ca="1" t="array" ref="E230">INDEX(C:C,MATCH(MIN(ABS(C:C-D230)),ABS(C:C-D230),0))</f>
        <v>42406</v>
      </c>
      <c r="F230">
        <f t="shared" si="43"/>
        <v>11</v>
      </c>
      <c r="G230">
        <f ca="1" t="shared" si="44"/>
        <v>116</v>
      </c>
      <c r="H230">
        <v>1</v>
      </c>
      <c r="I230">
        <v>3</v>
      </c>
      <c r="J230">
        <v>2</v>
      </c>
      <c r="K230">
        <v>4</v>
      </c>
      <c r="L230" cm="1">
        <f t="array" ref="L230:O230">_xlfn.SORTBY($R$3:$U$3,H230:K230)</f>
        <v>0</v>
      </c>
      <c r="M230">
        <v>1</v>
      </c>
      <c r="N230">
        <v>0</v>
      </c>
      <c r="O230">
        <v>1</v>
      </c>
      <c r="P230" t="str">
        <f ca="1" t="shared" si="46"/>
        <v>42406 0 1 0 1</v>
      </c>
      <c r="R230">
        <v>0</v>
      </c>
      <c r="S230">
        <v>0</v>
      </c>
      <c r="T230">
        <v>0</v>
      </c>
      <c r="U230">
        <v>1</v>
      </c>
      <c r="V230" t="str">
        <f ca="1" t="shared" si="47"/>
        <v>42406 0 0 0 1</v>
      </c>
    </row>
    <row r="231" spans="3:22">
      <c r="C231">
        <v>5483</v>
      </c>
      <c r="D231">
        <f ca="1" t="shared" si="45"/>
        <v>42634</v>
      </c>
      <c r="E231" cm="1">
        <f ca="1" t="array" ref="E231">INDEX(C:C,MATCH(MIN(ABS(C:C-D231)),ABS(C:C-D231),0))</f>
        <v>42637</v>
      </c>
      <c r="F231">
        <f t="shared" si="43"/>
        <v>11</v>
      </c>
      <c r="G231">
        <f ca="1" t="shared" si="44"/>
        <v>231</v>
      </c>
      <c r="H231">
        <v>1</v>
      </c>
      <c r="I231">
        <v>2</v>
      </c>
      <c r="J231">
        <v>3</v>
      </c>
      <c r="K231">
        <v>4</v>
      </c>
      <c r="L231" cm="1">
        <f t="array" ref="L231:O231">_xlfn.SORTBY($R$2:$U$2,H231:K231)</f>
        <v>0</v>
      </c>
      <c r="M231">
        <v>1</v>
      </c>
      <c r="N231">
        <v>1</v>
      </c>
      <c r="O231">
        <v>1</v>
      </c>
      <c r="P231" t="str">
        <f ca="1" t="shared" si="46"/>
        <v>42637 0 1 1 1</v>
      </c>
      <c r="R231">
        <v>0</v>
      </c>
      <c r="S231">
        <v>0</v>
      </c>
      <c r="T231">
        <v>1</v>
      </c>
      <c r="U231">
        <v>1</v>
      </c>
      <c r="V231" t="str">
        <f ca="1" t="shared" si="47"/>
        <v>42637 0 0 1 1</v>
      </c>
    </row>
    <row r="232" spans="3:22">
      <c r="C232">
        <v>5506</v>
      </c>
      <c r="D232">
        <f ca="1" t="shared" si="45"/>
        <v>42865</v>
      </c>
      <c r="E232" cm="1">
        <f ca="1" t="array" ref="E232">INDEX(C:C,MATCH(MIN(ABS(C:C-D232)),ABS(C:C-D232),0))</f>
        <v>42867</v>
      </c>
      <c r="F232">
        <f t="shared" si="43"/>
        <v>11</v>
      </c>
      <c r="G232">
        <f ca="1" t="shared" si="44"/>
        <v>230</v>
      </c>
      <c r="H232">
        <v>4</v>
      </c>
      <c r="I232">
        <v>3</v>
      </c>
      <c r="J232">
        <v>2</v>
      </c>
      <c r="K232">
        <v>1</v>
      </c>
      <c r="L232" cm="1">
        <f t="array" ref="L232:O232">_xlfn.SORTBY($R$2:$U$2,H232:K232)</f>
        <v>1</v>
      </c>
      <c r="M232">
        <v>1</v>
      </c>
      <c r="N232">
        <v>1</v>
      </c>
      <c r="O232">
        <v>0</v>
      </c>
      <c r="P232" t="str">
        <f ca="1" t="shared" si="46"/>
        <v>42867 1 1 1 0</v>
      </c>
      <c r="R232">
        <v>1</v>
      </c>
      <c r="S232">
        <v>0</v>
      </c>
      <c r="T232">
        <v>0</v>
      </c>
      <c r="U232">
        <v>0</v>
      </c>
      <c r="V232" t="str">
        <f ca="1" t="shared" si="47"/>
        <v>42867 1 0 0 0</v>
      </c>
    </row>
    <row r="233" spans="3:22">
      <c r="C233">
        <v>5529</v>
      </c>
      <c r="D233">
        <f ca="1" t="shared" si="45"/>
        <v>43096</v>
      </c>
      <c r="E233" cm="1">
        <f ca="1" t="array" ref="E233">INDEX(C:C,MATCH(MIN(ABS(C:C-D233)),ABS(C:C-D233),0))</f>
        <v>43098</v>
      </c>
      <c r="F233">
        <f t="shared" si="43"/>
        <v>11</v>
      </c>
      <c r="G233">
        <f ca="1" t="shared" si="44"/>
        <v>231</v>
      </c>
      <c r="H233">
        <v>1</v>
      </c>
      <c r="I233">
        <v>3</v>
      </c>
      <c r="J233">
        <v>2</v>
      </c>
      <c r="K233">
        <v>4</v>
      </c>
      <c r="L233" cm="1">
        <f t="array" ref="L233:O233">_xlfn.SORTBY($R$2:$U$2,H233:K233)</f>
        <v>0</v>
      </c>
      <c r="M233">
        <v>1</v>
      </c>
      <c r="N233">
        <v>1</v>
      </c>
      <c r="O233">
        <v>1</v>
      </c>
      <c r="P233" t="str">
        <f ca="1" t="shared" si="46"/>
        <v>43098 0 1 1 1</v>
      </c>
      <c r="R233">
        <v>0</v>
      </c>
      <c r="S233">
        <v>0</v>
      </c>
      <c r="T233">
        <v>0</v>
      </c>
      <c r="U233">
        <v>1</v>
      </c>
      <c r="V233" t="str">
        <f ca="1" t="shared" si="47"/>
        <v>43098 0 0 0 1</v>
      </c>
    </row>
    <row r="234" spans="3:22">
      <c r="C234">
        <v>5552</v>
      </c>
      <c r="D234">
        <f ca="1" t="shared" si="45"/>
        <v>43211</v>
      </c>
      <c r="E234" cm="1">
        <f ca="1" t="array" ref="E234">INDEX(C:C,MATCH(MIN(ABS(C:C-D234)),ABS(C:C-D234),0))</f>
        <v>43213</v>
      </c>
      <c r="F234">
        <f t="shared" si="43"/>
        <v>11</v>
      </c>
      <c r="G234">
        <f ca="1" t="shared" si="44"/>
        <v>115</v>
      </c>
      <c r="H234">
        <v>4</v>
      </c>
      <c r="I234">
        <v>2</v>
      </c>
      <c r="J234">
        <v>3</v>
      </c>
      <c r="K234">
        <v>1</v>
      </c>
      <c r="L234" cm="1">
        <f t="array" ref="L234:O234">_xlfn.SORTBY($R$2:$U$2,H234:K234)</f>
        <v>1</v>
      </c>
      <c r="M234">
        <v>1</v>
      </c>
      <c r="N234">
        <v>1</v>
      </c>
      <c r="O234">
        <v>0</v>
      </c>
      <c r="P234" t="str">
        <f ca="1" t="shared" si="46"/>
        <v>43213 1 1 1 0</v>
      </c>
      <c r="R234">
        <v>1</v>
      </c>
      <c r="S234">
        <v>0</v>
      </c>
      <c r="T234">
        <v>0</v>
      </c>
      <c r="U234">
        <v>0</v>
      </c>
      <c r="V234" t="str">
        <f ca="1" t="shared" si="47"/>
        <v>43213 1 0 0 0</v>
      </c>
    </row>
    <row r="235" spans="3:22">
      <c r="C235">
        <v>5575</v>
      </c>
      <c r="D235">
        <f ca="1" t="shared" si="45"/>
        <v>43442</v>
      </c>
      <c r="E235" cm="1">
        <f ca="1" t="array" ref="E235">INDEX(C:C,MATCH(MIN(ABS(C:C-D235)),ABS(C:C-D235),0))</f>
        <v>43444</v>
      </c>
      <c r="F235">
        <f t="shared" si="43"/>
        <v>11</v>
      </c>
      <c r="G235">
        <f ca="1" t="shared" si="44"/>
        <v>231</v>
      </c>
      <c r="H235">
        <v>1</v>
      </c>
      <c r="I235">
        <v>4</v>
      </c>
      <c r="J235">
        <v>3</v>
      </c>
      <c r="K235">
        <v>2</v>
      </c>
      <c r="L235" cm="1">
        <f t="array" ref="L235:O235">_xlfn.SORTBY($R$2:$U$2,H235:K235)</f>
        <v>0</v>
      </c>
      <c r="M235">
        <v>1</v>
      </c>
      <c r="N235">
        <v>1</v>
      </c>
      <c r="O235">
        <v>1</v>
      </c>
      <c r="P235" t="str">
        <f ca="1" t="shared" si="46"/>
        <v>43444 0 1 1 1</v>
      </c>
      <c r="R235">
        <v>0</v>
      </c>
      <c r="S235">
        <v>1</v>
      </c>
      <c r="T235">
        <v>0</v>
      </c>
      <c r="U235">
        <v>0</v>
      </c>
      <c r="V235" t="str">
        <f ca="1" t="shared" si="47"/>
        <v>43444 0 1 0 0</v>
      </c>
    </row>
    <row r="236" spans="3:22">
      <c r="C236">
        <v>5598</v>
      </c>
      <c r="D236">
        <f ca="1" t="shared" si="45"/>
        <v>43557</v>
      </c>
      <c r="E236" cm="1">
        <f ca="1" t="array" ref="E236">INDEX(C:C,MATCH(MIN(ABS(C:C-D236)),ABS(C:C-D236),0))</f>
        <v>43560</v>
      </c>
      <c r="F236">
        <f t="shared" si="43"/>
        <v>11</v>
      </c>
      <c r="G236">
        <f ca="1" t="shared" si="44"/>
        <v>116</v>
      </c>
      <c r="H236">
        <v>2</v>
      </c>
      <c r="I236">
        <v>3</v>
      </c>
      <c r="J236">
        <v>4</v>
      </c>
      <c r="K236">
        <v>1</v>
      </c>
      <c r="L236" cm="1">
        <f t="array" ref="L236:O236">_xlfn.SORTBY($R$2:$U$2,H236:K236)</f>
        <v>1</v>
      </c>
      <c r="M236">
        <v>0</v>
      </c>
      <c r="N236">
        <v>1</v>
      </c>
      <c r="O236">
        <v>1</v>
      </c>
      <c r="P236" t="str">
        <f ca="1" t="shared" si="46"/>
        <v>43560 1 0 1 1</v>
      </c>
      <c r="R236">
        <v>1</v>
      </c>
      <c r="S236">
        <v>0</v>
      </c>
      <c r="T236">
        <v>0</v>
      </c>
      <c r="U236">
        <v>0</v>
      </c>
      <c r="V236" t="str">
        <f ca="1" t="shared" si="47"/>
        <v>43560 1 0 0 0</v>
      </c>
    </row>
    <row r="237" spans="3:22">
      <c r="C237">
        <v>5621</v>
      </c>
      <c r="D237">
        <f ca="1" t="shared" si="45"/>
        <v>43788</v>
      </c>
      <c r="E237" cm="1">
        <f ca="1" t="array" ref="E237">INDEX(C:C,MATCH(MIN(ABS(C:C-D237)),ABS(C:C-D237),0))</f>
        <v>43790</v>
      </c>
      <c r="F237">
        <f t="shared" si="43"/>
        <v>11</v>
      </c>
      <c r="G237">
        <f ca="1" t="shared" si="44"/>
        <v>230</v>
      </c>
      <c r="H237">
        <v>2</v>
      </c>
      <c r="I237">
        <v>1</v>
      </c>
      <c r="J237">
        <v>4</v>
      </c>
      <c r="K237">
        <v>3</v>
      </c>
      <c r="L237" cm="1">
        <f t="array" ref="L237:O237">_xlfn.SORTBY($R$2:$U$2,H237:K237)</f>
        <v>1</v>
      </c>
      <c r="M237">
        <v>0</v>
      </c>
      <c r="N237">
        <v>1</v>
      </c>
      <c r="O237">
        <v>1</v>
      </c>
      <c r="P237" t="str">
        <f ca="1" t="shared" si="46"/>
        <v>43790 1 0 1 1</v>
      </c>
      <c r="R237">
        <v>0</v>
      </c>
      <c r="S237">
        <v>0</v>
      </c>
      <c r="T237">
        <v>1</v>
      </c>
      <c r="U237">
        <v>0</v>
      </c>
      <c r="V237" t="str">
        <f ca="1" t="shared" si="47"/>
        <v>43790 0 0 1 0</v>
      </c>
    </row>
    <row r="238" spans="3:22">
      <c r="C238">
        <v>5644</v>
      </c>
      <c r="D238">
        <f ca="1" t="shared" si="45"/>
        <v>43903</v>
      </c>
      <c r="E238" cm="1">
        <f ca="1" t="array" ref="E238">INDEX(C:C,MATCH(MIN(ABS(C:C-D238)),ABS(C:C-D238),0))</f>
        <v>43906</v>
      </c>
      <c r="F238">
        <f t="shared" si="43"/>
        <v>11</v>
      </c>
      <c r="G238">
        <f ca="1" t="shared" si="44"/>
        <v>116</v>
      </c>
      <c r="H238">
        <v>3</v>
      </c>
      <c r="I238">
        <v>4</v>
      </c>
      <c r="J238">
        <v>1</v>
      </c>
      <c r="K238">
        <v>2</v>
      </c>
      <c r="L238" cm="1">
        <f t="array" ref="L238:O238">_xlfn.SORTBY($R$2:$U$2,H238:K238)</f>
        <v>1</v>
      </c>
      <c r="M238">
        <v>1</v>
      </c>
      <c r="N238">
        <v>0</v>
      </c>
      <c r="O238">
        <v>1</v>
      </c>
      <c r="P238" t="str">
        <f ca="1" t="shared" si="46"/>
        <v>43906 1 1 0 1</v>
      </c>
      <c r="R238">
        <v>0</v>
      </c>
      <c r="S238">
        <v>1</v>
      </c>
      <c r="T238">
        <v>0</v>
      </c>
      <c r="U238">
        <v>0</v>
      </c>
      <c r="V238" t="str">
        <f ca="1" t="shared" si="47"/>
        <v>43906 0 1 0 0</v>
      </c>
    </row>
    <row r="239" spans="3:22">
      <c r="C239">
        <v>5667</v>
      </c>
      <c r="D239">
        <f ca="1" t="shared" si="45"/>
        <v>44134</v>
      </c>
      <c r="E239" cm="1">
        <f ca="1" t="array" ref="E239">INDEX(C:C,MATCH(MIN(ABS(C:C-D239)),ABS(C:C-D239),0))</f>
        <v>44137</v>
      </c>
      <c r="F239">
        <f t="shared" si="43"/>
        <v>11</v>
      </c>
      <c r="G239">
        <f ca="1" t="shared" si="44"/>
        <v>231</v>
      </c>
      <c r="H239">
        <v>1</v>
      </c>
      <c r="I239">
        <v>3</v>
      </c>
      <c r="J239">
        <v>2</v>
      </c>
      <c r="K239">
        <v>4</v>
      </c>
      <c r="L239" cm="1">
        <f t="array" ref="L239:O239">_xlfn.SORTBY($R$2:$U$2,H239:K239)</f>
        <v>0</v>
      </c>
      <c r="M239">
        <v>1</v>
      </c>
      <c r="N239">
        <v>1</v>
      </c>
      <c r="O239">
        <v>1</v>
      </c>
      <c r="P239" t="str">
        <f ca="1" t="shared" si="46"/>
        <v>44137 0 1 1 1</v>
      </c>
      <c r="R239">
        <v>0</v>
      </c>
      <c r="S239">
        <v>0</v>
      </c>
      <c r="T239">
        <v>0</v>
      </c>
      <c r="U239">
        <v>1</v>
      </c>
      <c r="V239" t="str">
        <f ca="1" t="shared" si="47"/>
        <v>44137 0 0 0 1</v>
      </c>
    </row>
    <row r="240" spans="3:22">
      <c r="C240">
        <v>5690</v>
      </c>
      <c r="D240">
        <f ca="1" t="shared" si="45"/>
        <v>44249</v>
      </c>
      <c r="E240" cm="1">
        <f ca="1" t="array" ref="E240">INDEX(C:C,MATCH(MIN(ABS(C:C-D240)),ABS(C:C-D240),0))</f>
        <v>44252</v>
      </c>
      <c r="F240">
        <f t="shared" si="43"/>
        <v>11</v>
      </c>
      <c r="G240">
        <f ca="1" t="shared" si="44"/>
        <v>115</v>
      </c>
      <c r="H240">
        <v>3</v>
      </c>
      <c r="I240">
        <v>2</v>
      </c>
      <c r="J240">
        <v>4</v>
      </c>
      <c r="K240">
        <v>1</v>
      </c>
      <c r="L240" cm="1">
        <f t="array" ref="L240:O240">_xlfn.SORTBY($R$2:$U$2,H240:K240)</f>
        <v>1</v>
      </c>
      <c r="M240">
        <v>1</v>
      </c>
      <c r="N240">
        <v>0</v>
      </c>
      <c r="O240">
        <v>1</v>
      </c>
      <c r="P240" t="str">
        <f ca="1" t="shared" si="46"/>
        <v>44252 1 1 0 1</v>
      </c>
      <c r="R240">
        <v>1</v>
      </c>
      <c r="S240">
        <v>0</v>
      </c>
      <c r="T240">
        <v>0</v>
      </c>
      <c r="U240">
        <v>0</v>
      </c>
      <c r="V240" t="str">
        <f ca="1" t="shared" si="47"/>
        <v>44252 1 0 0 0</v>
      </c>
    </row>
    <row r="241" spans="3:22">
      <c r="C241">
        <v>5713</v>
      </c>
      <c r="D241">
        <f ca="1" t="shared" si="45"/>
        <v>44480</v>
      </c>
      <c r="E241" cm="1">
        <f ca="1" t="array" ref="E241">INDEX(C:C,MATCH(MIN(ABS(C:C-D241)),ABS(C:C-D241),0))</f>
        <v>44483</v>
      </c>
      <c r="F241">
        <f t="shared" si="43"/>
        <v>12</v>
      </c>
      <c r="G241">
        <f ca="1" t="shared" si="44"/>
        <v>231</v>
      </c>
      <c r="H241" cm="1">
        <f t="array" ref="H241:H320">_xlfn.SORTBY(H161:H240,ROW(H161:H240),-1)</f>
        <v>3</v>
      </c>
      <c r="I241" cm="1">
        <f t="array" ref="I241:I320">_xlfn.SORTBY(I161:I240,ROW(I161:I240),-1)</f>
        <v>2</v>
      </c>
      <c r="J241" cm="1">
        <f t="array" ref="J241:J320">_xlfn.SORTBY(J161:J240,ROW(J161:J240),-1)</f>
        <v>4</v>
      </c>
      <c r="K241" cm="1">
        <f t="array" ref="K241:K320">_xlfn.SORTBY(K161:K240,ROW(K161:K240),-1)</f>
        <v>1</v>
      </c>
      <c r="L241" cm="1">
        <f t="array" ref="L241:O241">_xlfn.SORTBY($R$3:$U$3,H241:K241)</f>
        <v>1</v>
      </c>
      <c r="M241">
        <v>0</v>
      </c>
      <c r="N241">
        <v>0</v>
      </c>
      <c r="O241">
        <v>1</v>
      </c>
      <c r="P241" t="str">
        <f ca="1" t="shared" si="46"/>
        <v>44483 1 0 0 1</v>
      </c>
      <c r="R241">
        <v>0</v>
      </c>
      <c r="S241">
        <v>1</v>
      </c>
      <c r="T241">
        <v>0</v>
      </c>
      <c r="U241">
        <v>0</v>
      </c>
      <c r="V241" t="str">
        <f ca="1" t="shared" si="47"/>
        <v>44483 0 1 0 0</v>
      </c>
    </row>
    <row r="242" spans="3:22">
      <c r="C242">
        <v>5737</v>
      </c>
      <c r="D242">
        <f ca="1" t="shared" si="45"/>
        <v>44710</v>
      </c>
      <c r="E242" cm="1">
        <f ca="1" t="array" ref="E242">INDEX(C:C,MATCH(MIN(ABS(C:C-D242)),ABS(C:C-D242),0))</f>
        <v>44713</v>
      </c>
      <c r="F242">
        <f t="shared" si="43"/>
        <v>12</v>
      </c>
      <c r="G242">
        <f ca="1" t="shared" si="44"/>
        <v>230</v>
      </c>
      <c r="H242">
        <v>1</v>
      </c>
      <c r="I242">
        <v>3</v>
      </c>
      <c r="J242">
        <v>2</v>
      </c>
      <c r="K242">
        <v>4</v>
      </c>
      <c r="L242" cm="1">
        <f t="array" ref="L242:O242">_xlfn.SORTBY($R$3:$U$3,H242:K242)</f>
        <v>0</v>
      </c>
      <c r="M242">
        <v>1</v>
      </c>
      <c r="N242">
        <v>0</v>
      </c>
      <c r="O242">
        <v>1</v>
      </c>
      <c r="P242" t="str">
        <f ca="1" t="shared" si="46"/>
        <v>44713 0 1 0 1</v>
      </c>
      <c r="R242">
        <v>0</v>
      </c>
      <c r="S242">
        <v>0</v>
      </c>
      <c r="T242">
        <v>1</v>
      </c>
      <c r="U242">
        <v>0</v>
      </c>
      <c r="V242" t="str">
        <f ca="1" t="shared" si="47"/>
        <v>44713 0 0 1 0</v>
      </c>
    </row>
    <row r="243" spans="3:22">
      <c r="C243">
        <v>5760</v>
      </c>
      <c r="D243">
        <f ca="1" t="shared" si="45"/>
        <v>44941</v>
      </c>
      <c r="E243" cm="1">
        <f ca="1" t="array" ref="E243">INDEX(C:C,MATCH(MIN(ABS(C:C-D243)),ABS(C:C-D243),0))</f>
        <v>44944</v>
      </c>
      <c r="F243">
        <f t="shared" si="43"/>
        <v>12</v>
      </c>
      <c r="G243">
        <f ca="1" t="shared" si="44"/>
        <v>231</v>
      </c>
      <c r="H243">
        <v>3</v>
      </c>
      <c r="I243">
        <v>4</v>
      </c>
      <c r="J243">
        <v>1</v>
      </c>
      <c r="K243">
        <v>2</v>
      </c>
      <c r="L243" cm="1">
        <f t="array" ref="L243:O243">_xlfn.SORTBY($R$3:$U$3,H243:K243)</f>
        <v>1</v>
      </c>
      <c r="M243">
        <v>1</v>
      </c>
      <c r="N243">
        <v>0</v>
      </c>
      <c r="O243">
        <v>0</v>
      </c>
      <c r="P243" t="str">
        <f ca="1" t="shared" si="46"/>
        <v>44944 1 1 0 0</v>
      </c>
      <c r="R243">
        <v>0</v>
      </c>
      <c r="S243">
        <v>0</v>
      </c>
      <c r="T243">
        <v>0</v>
      </c>
      <c r="U243">
        <v>1</v>
      </c>
      <c r="V243" t="str">
        <f ca="1" t="shared" si="47"/>
        <v>44944 0 0 0 1</v>
      </c>
    </row>
    <row r="244" spans="3:22">
      <c r="C244">
        <v>5783</v>
      </c>
      <c r="D244">
        <f ca="1" t="shared" si="45"/>
        <v>45057</v>
      </c>
      <c r="E244" cm="1">
        <f ca="1" t="array" ref="E244">INDEX(C:C,MATCH(MIN(ABS(C:C-D244)),ABS(C:C-D244),0))</f>
        <v>45060</v>
      </c>
      <c r="F244">
        <f t="shared" ref="F244:F275" si="48">ROUNDDOWN((ROW(F244)-1)/20,0)</f>
        <v>12</v>
      </c>
      <c r="G244">
        <f ca="1" t="shared" ref="G244:G275" si="49">E244-E243</f>
        <v>116</v>
      </c>
      <c r="H244">
        <v>2</v>
      </c>
      <c r="I244">
        <v>1</v>
      </c>
      <c r="J244">
        <v>4</v>
      </c>
      <c r="K244">
        <v>3</v>
      </c>
      <c r="L244" cm="1">
        <f t="array" ref="L244:O244">_xlfn.SORTBY($R$3:$U$3,H244:K244)</f>
        <v>0</v>
      </c>
      <c r="M244">
        <v>0</v>
      </c>
      <c r="N244">
        <v>1</v>
      </c>
      <c r="O244">
        <v>1</v>
      </c>
      <c r="P244" t="str">
        <f ca="1" t="shared" si="46"/>
        <v>45060 0 0 1 1</v>
      </c>
      <c r="R244">
        <v>0</v>
      </c>
      <c r="S244">
        <v>0</v>
      </c>
      <c r="T244">
        <v>0</v>
      </c>
      <c r="U244">
        <v>1</v>
      </c>
      <c r="V244" t="str">
        <f ca="1" t="shared" si="47"/>
        <v>45060 0 0 0 1</v>
      </c>
    </row>
    <row r="245" spans="3:22">
      <c r="C245">
        <v>5806</v>
      </c>
      <c r="D245">
        <f ca="1" t="shared" ref="D245:D266" si="50">B$1+OFFSET(D245,-20,0,1,1)</f>
        <v>45287</v>
      </c>
      <c r="E245" cm="1">
        <f ca="1" t="array" ref="E245">INDEX(C:C,MATCH(MIN(ABS(C:C-D245)),ABS(C:C-D245),0))</f>
        <v>45290</v>
      </c>
      <c r="F245">
        <f t="shared" si="48"/>
        <v>12</v>
      </c>
      <c r="G245">
        <f ca="1" t="shared" si="49"/>
        <v>230</v>
      </c>
      <c r="H245">
        <v>2</v>
      </c>
      <c r="I245">
        <v>3</v>
      </c>
      <c r="J245">
        <v>4</v>
      </c>
      <c r="K245">
        <v>1</v>
      </c>
      <c r="L245" cm="1">
        <f t="array" ref="L245:O245">_xlfn.SORTBY($R$3:$U$3,H245:K245)</f>
        <v>1</v>
      </c>
      <c r="M245">
        <v>0</v>
      </c>
      <c r="N245">
        <v>0</v>
      </c>
      <c r="O245">
        <v>1</v>
      </c>
      <c r="P245" t="str">
        <f ca="1" t="shared" si="46"/>
        <v>45290 1 0 0 1</v>
      </c>
      <c r="R245">
        <v>0</v>
      </c>
      <c r="S245">
        <v>0</v>
      </c>
      <c r="T245">
        <v>0</v>
      </c>
      <c r="U245">
        <v>1</v>
      </c>
      <c r="V245" t="str">
        <f ca="1" t="shared" si="47"/>
        <v>45290 0 0 0 1</v>
      </c>
    </row>
    <row r="246" spans="3:22">
      <c r="C246">
        <v>5829</v>
      </c>
      <c r="D246">
        <f ca="1" t="shared" si="50"/>
        <v>45403</v>
      </c>
      <c r="E246" cm="1">
        <f ca="1" t="array" ref="E246">INDEX(C:C,MATCH(MIN(ABS(C:C-D246)),ABS(C:C-D246),0))</f>
        <v>45406</v>
      </c>
      <c r="F246">
        <f t="shared" si="48"/>
        <v>12</v>
      </c>
      <c r="G246">
        <f ca="1" t="shared" si="49"/>
        <v>116</v>
      </c>
      <c r="H246">
        <v>1</v>
      </c>
      <c r="I246">
        <v>4</v>
      </c>
      <c r="J246">
        <v>3</v>
      </c>
      <c r="K246">
        <v>2</v>
      </c>
      <c r="L246" cm="1">
        <f t="array" ref="L246:O246">_xlfn.SORTBY($R$3:$U$3,H246:K246)</f>
        <v>0</v>
      </c>
      <c r="M246">
        <v>1</v>
      </c>
      <c r="N246">
        <v>1</v>
      </c>
      <c r="O246">
        <v>0</v>
      </c>
      <c r="P246" t="str">
        <f ca="1" t="shared" si="46"/>
        <v>45406 0 1 1 0</v>
      </c>
      <c r="R246">
        <v>0</v>
      </c>
      <c r="S246">
        <v>1</v>
      </c>
      <c r="T246">
        <v>0</v>
      </c>
      <c r="U246">
        <v>0</v>
      </c>
      <c r="V246" t="str">
        <f ca="1" t="shared" si="47"/>
        <v>45406 0 1 0 0</v>
      </c>
    </row>
    <row r="247" spans="3:22">
      <c r="C247">
        <v>5852</v>
      </c>
      <c r="D247">
        <f ca="1" t="shared" si="50"/>
        <v>45634</v>
      </c>
      <c r="E247" cm="1">
        <f ca="1" t="array" ref="E247">INDEX(C:C,MATCH(MIN(ABS(C:C-D247)),ABS(C:C-D247),0))</f>
        <v>45637</v>
      </c>
      <c r="F247">
        <f t="shared" si="48"/>
        <v>12</v>
      </c>
      <c r="G247">
        <f ca="1" t="shared" si="49"/>
        <v>231</v>
      </c>
      <c r="H247">
        <v>4</v>
      </c>
      <c r="I247">
        <v>2</v>
      </c>
      <c r="J247">
        <v>3</v>
      </c>
      <c r="K247">
        <v>1</v>
      </c>
      <c r="L247" cm="1">
        <f t="array" ref="L247:O247">_xlfn.SORTBY($R$3:$U$3,H247:K247)</f>
        <v>1</v>
      </c>
      <c r="M247">
        <v>0</v>
      </c>
      <c r="N247">
        <v>1</v>
      </c>
      <c r="O247">
        <v>0</v>
      </c>
      <c r="P247" t="str">
        <f ca="1" t="shared" si="46"/>
        <v>45637 1 0 1 0</v>
      </c>
      <c r="R247">
        <v>0</v>
      </c>
      <c r="S247">
        <v>1</v>
      </c>
      <c r="T247">
        <v>0</v>
      </c>
      <c r="U247">
        <v>0</v>
      </c>
      <c r="V247" t="str">
        <f ca="1" t="shared" si="47"/>
        <v>45637 0 1 0 0</v>
      </c>
    </row>
    <row r="248" spans="3:22">
      <c r="C248">
        <v>5875</v>
      </c>
      <c r="D248">
        <f ca="1" t="shared" si="50"/>
        <v>45749</v>
      </c>
      <c r="E248" cm="1">
        <f ca="1" t="array" ref="E248">INDEX(C:C,MATCH(MIN(ABS(C:C-D248)),ABS(C:C-D248),0))</f>
        <v>45752</v>
      </c>
      <c r="F248">
        <f t="shared" si="48"/>
        <v>12</v>
      </c>
      <c r="G248">
        <f ca="1" t="shared" si="49"/>
        <v>115</v>
      </c>
      <c r="H248">
        <v>1</v>
      </c>
      <c r="I248">
        <v>3</v>
      </c>
      <c r="J248">
        <v>2</v>
      </c>
      <c r="K248">
        <v>4</v>
      </c>
      <c r="L248" cm="1">
        <f t="array" ref="L248:O248">_xlfn.SORTBY($R$3:$U$3,H248:K248)</f>
        <v>0</v>
      </c>
      <c r="M248">
        <v>1</v>
      </c>
      <c r="N248">
        <v>0</v>
      </c>
      <c r="O248">
        <v>1</v>
      </c>
      <c r="P248" t="str">
        <f ca="1" t="shared" si="46"/>
        <v>45752 0 1 0 1</v>
      </c>
      <c r="R248">
        <v>1</v>
      </c>
      <c r="S248">
        <v>0</v>
      </c>
      <c r="T248">
        <v>0</v>
      </c>
      <c r="U248">
        <v>0</v>
      </c>
      <c r="V248" t="str">
        <f ca="1" t="shared" si="47"/>
        <v>45752 1 0 0 0</v>
      </c>
    </row>
    <row r="249" spans="3:22">
      <c r="C249">
        <v>5898</v>
      </c>
      <c r="D249">
        <f ca="1" t="shared" si="50"/>
        <v>45980</v>
      </c>
      <c r="E249" cm="1">
        <f ca="1" t="array" ref="E249">INDEX(C:C,MATCH(MIN(ABS(C:C-D249)),ABS(C:C-D249),0))</f>
        <v>45983</v>
      </c>
      <c r="F249">
        <f t="shared" si="48"/>
        <v>12</v>
      </c>
      <c r="G249">
        <f ca="1" t="shared" si="49"/>
        <v>231</v>
      </c>
      <c r="H249">
        <v>4</v>
      </c>
      <c r="I249">
        <v>3</v>
      </c>
      <c r="J249">
        <v>2</v>
      </c>
      <c r="K249">
        <v>1</v>
      </c>
      <c r="L249" cm="1">
        <f t="array" ref="L249:O249">_xlfn.SORTBY($R$3:$U$3,H249:K249)</f>
        <v>1</v>
      </c>
      <c r="M249">
        <v>1</v>
      </c>
      <c r="N249">
        <v>0</v>
      </c>
      <c r="O249">
        <v>0</v>
      </c>
      <c r="P249" t="str">
        <f ca="1" t="shared" si="46"/>
        <v>45983 1 1 0 0</v>
      </c>
      <c r="R249">
        <v>0</v>
      </c>
      <c r="S249">
        <v>0</v>
      </c>
      <c r="T249">
        <v>1</v>
      </c>
      <c r="U249">
        <v>0</v>
      </c>
      <c r="V249" t="str">
        <f ca="1" t="shared" si="47"/>
        <v>45983 0 0 1 0</v>
      </c>
    </row>
    <row r="250" spans="3:22">
      <c r="C250">
        <v>5921</v>
      </c>
      <c r="D250">
        <f ca="1" t="shared" si="50"/>
        <v>46095</v>
      </c>
      <c r="E250" cm="1">
        <f ca="1" t="array" ref="E250">INDEX(C:C,MATCH(MIN(ABS(C:C-D250)),ABS(C:C-D250),0))</f>
        <v>46098</v>
      </c>
      <c r="F250">
        <f t="shared" si="48"/>
        <v>12</v>
      </c>
      <c r="G250">
        <f ca="1" t="shared" si="49"/>
        <v>115</v>
      </c>
      <c r="H250">
        <v>1</v>
      </c>
      <c r="I250">
        <v>2</v>
      </c>
      <c r="J250">
        <v>3</v>
      </c>
      <c r="K250">
        <v>4</v>
      </c>
      <c r="L250" cm="1">
        <f t="array" ref="L250:O250">_xlfn.SORTBY($R$3:$U$3,H250:K250)</f>
        <v>0</v>
      </c>
      <c r="M250">
        <v>0</v>
      </c>
      <c r="N250">
        <v>1</v>
      </c>
      <c r="O250">
        <v>1</v>
      </c>
      <c r="P250" t="str">
        <f ca="1" t="shared" si="46"/>
        <v>46098 0 0 1 1</v>
      </c>
      <c r="R250">
        <v>0</v>
      </c>
      <c r="S250">
        <v>0</v>
      </c>
      <c r="T250">
        <v>0</v>
      </c>
      <c r="U250">
        <v>1</v>
      </c>
      <c r="V250" t="str">
        <f ca="1" t="shared" si="47"/>
        <v>46098 0 0 0 1</v>
      </c>
    </row>
    <row r="251" spans="3:22">
      <c r="C251">
        <v>5944</v>
      </c>
      <c r="D251">
        <f ca="1" t="shared" si="50"/>
        <v>46326</v>
      </c>
      <c r="E251" cm="1">
        <f ca="1" t="array" ref="E251">INDEX(C:C,MATCH(MIN(ABS(C:C-D251)),ABS(C:C-D251),0))</f>
        <v>46329</v>
      </c>
      <c r="F251">
        <f t="shared" si="48"/>
        <v>12</v>
      </c>
      <c r="G251">
        <f ca="1" t="shared" si="49"/>
        <v>231</v>
      </c>
      <c r="H251">
        <v>1</v>
      </c>
      <c r="I251">
        <v>3</v>
      </c>
      <c r="J251">
        <v>2</v>
      </c>
      <c r="K251">
        <v>4</v>
      </c>
      <c r="L251" cm="1">
        <f t="array" ref="L251:O251">_xlfn.SORTBY($R$3:$U$3,H251:K251)</f>
        <v>0</v>
      </c>
      <c r="M251">
        <v>1</v>
      </c>
      <c r="N251">
        <v>0</v>
      </c>
      <c r="O251">
        <v>1</v>
      </c>
      <c r="P251" t="str">
        <f ca="1" t="shared" si="46"/>
        <v>46329 0 1 0 1</v>
      </c>
      <c r="R251">
        <v>1</v>
      </c>
      <c r="S251">
        <v>0</v>
      </c>
      <c r="T251">
        <v>0</v>
      </c>
      <c r="U251">
        <v>0</v>
      </c>
      <c r="V251" t="str">
        <f ca="1" t="shared" si="47"/>
        <v>46329 1 0 0 0</v>
      </c>
    </row>
    <row r="252" spans="3:22">
      <c r="C252">
        <v>5967</v>
      </c>
      <c r="D252">
        <f ca="1" t="shared" si="50"/>
        <v>46557</v>
      </c>
      <c r="E252" cm="1">
        <f ca="1" t="array" ref="E252">INDEX(C:C,MATCH(MIN(ABS(C:C-D252)),ABS(C:C-D252),0))</f>
        <v>46560</v>
      </c>
      <c r="F252">
        <f t="shared" si="48"/>
        <v>12</v>
      </c>
      <c r="G252">
        <f ca="1" t="shared" si="49"/>
        <v>231</v>
      </c>
      <c r="H252">
        <v>3</v>
      </c>
      <c r="I252">
        <v>2</v>
      </c>
      <c r="J252">
        <v>4</v>
      </c>
      <c r="K252">
        <v>1</v>
      </c>
      <c r="L252" cm="1">
        <f t="array" ref="L252:O252">_xlfn.SORTBY($R$3:$U$3,H252:K252)</f>
        <v>1</v>
      </c>
      <c r="M252">
        <v>0</v>
      </c>
      <c r="N252">
        <v>0</v>
      </c>
      <c r="O252">
        <v>1</v>
      </c>
      <c r="P252" t="str">
        <f ca="1" t="shared" si="46"/>
        <v>46560 1 0 0 1</v>
      </c>
      <c r="R252">
        <v>1</v>
      </c>
      <c r="S252">
        <v>0</v>
      </c>
      <c r="T252">
        <v>0</v>
      </c>
      <c r="U252">
        <v>0</v>
      </c>
      <c r="V252" t="str">
        <f ca="1" t="shared" si="47"/>
        <v>46560 1 0 0 0</v>
      </c>
    </row>
    <row r="253" spans="3:22">
      <c r="C253">
        <v>5990</v>
      </c>
      <c r="D253">
        <f ca="1" t="shared" si="50"/>
        <v>46788</v>
      </c>
      <c r="E253" cm="1">
        <f ca="1" t="array" ref="E253">INDEX(C:C,MATCH(MIN(ABS(C:C-D253)),ABS(C:C-D253),0))</f>
        <v>46790</v>
      </c>
      <c r="F253">
        <f t="shared" si="48"/>
        <v>12</v>
      </c>
      <c r="G253">
        <f ca="1" t="shared" si="49"/>
        <v>230</v>
      </c>
      <c r="H253">
        <v>2</v>
      </c>
      <c r="I253">
        <v>1</v>
      </c>
      <c r="J253">
        <v>4</v>
      </c>
      <c r="K253">
        <v>3</v>
      </c>
      <c r="L253" cm="1">
        <f t="array" ref="L253:O253">_xlfn.SORTBY($R$3:$U$3,H253:K253)</f>
        <v>0</v>
      </c>
      <c r="M253">
        <v>0</v>
      </c>
      <c r="N253">
        <v>1</v>
      </c>
      <c r="O253">
        <v>1</v>
      </c>
      <c r="P253" t="str">
        <f ca="1" t="shared" si="46"/>
        <v>46790 0 0 1 1</v>
      </c>
      <c r="R253">
        <v>0</v>
      </c>
      <c r="S253">
        <v>1</v>
      </c>
      <c r="T253">
        <v>0</v>
      </c>
      <c r="U253">
        <v>0</v>
      </c>
      <c r="V253" t="str">
        <f ca="1" t="shared" si="47"/>
        <v>46790 0 1 0 0</v>
      </c>
    </row>
    <row r="254" spans="3:22">
      <c r="C254">
        <v>6013</v>
      </c>
      <c r="D254">
        <f ca="1" t="shared" si="50"/>
        <v>46903</v>
      </c>
      <c r="E254" cm="1">
        <f ca="1" t="array" ref="E254">INDEX(C:C,MATCH(MIN(ABS(C:C-D254)),ABS(C:C-D254),0))</f>
        <v>46906</v>
      </c>
      <c r="F254">
        <f t="shared" si="48"/>
        <v>12</v>
      </c>
      <c r="G254">
        <f ca="1" t="shared" si="49"/>
        <v>116</v>
      </c>
      <c r="H254">
        <v>3</v>
      </c>
      <c r="I254">
        <v>4</v>
      </c>
      <c r="J254">
        <v>1</v>
      </c>
      <c r="K254">
        <v>2</v>
      </c>
      <c r="L254" cm="1">
        <f t="array" ref="L254:O254">_xlfn.SORTBY($R$3:$U$3,H254:K254)</f>
        <v>1</v>
      </c>
      <c r="M254">
        <v>1</v>
      </c>
      <c r="N254">
        <v>0</v>
      </c>
      <c r="O254">
        <v>0</v>
      </c>
      <c r="P254" t="str">
        <f ca="1" t="shared" si="46"/>
        <v>46906 1 1 0 0</v>
      </c>
      <c r="R254">
        <v>0</v>
      </c>
      <c r="S254">
        <v>1</v>
      </c>
      <c r="T254">
        <v>0</v>
      </c>
      <c r="U254">
        <v>0</v>
      </c>
      <c r="V254" t="str">
        <f ca="1" t="shared" si="47"/>
        <v>46906 0 1 0 0</v>
      </c>
    </row>
    <row r="255" spans="3:22">
      <c r="C255">
        <v>6037</v>
      </c>
      <c r="D255">
        <f ca="1" t="shared" si="50"/>
        <v>47134</v>
      </c>
      <c r="E255" cm="1">
        <f ca="1" t="array" ref="E255">INDEX(C:C,MATCH(MIN(ABS(C:C-D255)),ABS(C:C-D255),0))</f>
        <v>47137</v>
      </c>
      <c r="F255">
        <f t="shared" si="48"/>
        <v>12</v>
      </c>
      <c r="G255">
        <f ca="1" t="shared" si="49"/>
        <v>231</v>
      </c>
      <c r="H255">
        <v>1</v>
      </c>
      <c r="I255">
        <v>4</v>
      </c>
      <c r="J255">
        <v>3</v>
      </c>
      <c r="K255">
        <v>2</v>
      </c>
      <c r="L255" cm="1">
        <f t="array" ref="L255:O255">_xlfn.SORTBY($R$3:$U$3,H255:K255)</f>
        <v>0</v>
      </c>
      <c r="M255">
        <v>1</v>
      </c>
      <c r="N255">
        <v>1</v>
      </c>
      <c r="O255">
        <v>0</v>
      </c>
      <c r="P255" t="str">
        <f ca="1" t="shared" si="46"/>
        <v>47137 0 1 1 0</v>
      </c>
      <c r="R255">
        <v>0</v>
      </c>
      <c r="S255">
        <v>1</v>
      </c>
      <c r="T255">
        <v>0</v>
      </c>
      <c r="U255">
        <v>0</v>
      </c>
      <c r="V255" t="str">
        <f ca="1" t="shared" si="47"/>
        <v>47137 0 1 0 0</v>
      </c>
    </row>
    <row r="256" spans="3:22">
      <c r="C256">
        <v>6060</v>
      </c>
      <c r="D256">
        <f ca="1" t="shared" si="50"/>
        <v>47249</v>
      </c>
      <c r="E256" cm="1">
        <f ca="1" t="array" ref="E256">INDEX(C:C,MATCH(MIN(ABS(C:C-D256)),ABS(C:C-D256),0))</f>
        <v>47252</v>
      </c>
      <c r="F256">
        <f t="shared" si="48"/>
        <v>12</v>
      </c>
      <c r="G256">
        <f ca="1" t="shared" si="49"/>
        <v>115</v>
      </c>
      <c r="H256">
        <v>2</v>
      </c>
      <c r="I256">
        <v>3</v>
      </c>
      <c r="J256">
        <v>4</v>
      </c>
      <c r="K256">
        <v>1</v>
      </c>
      <c r="L256" cm="1">
        <f t="array" ref="L256:O256">_xlfn.SORTBY($R$3:$U$3,H256:K256)</f>
        <v>1</v>
      </c>
      <c r="M256">
        <v>0</v>
      </c>
      <c r="N256">
        <v>0</v>
      </c>
      <c r="O256">
        <v>1</v>
      </c>
      <c r="P256" t="str">
        <f ca="1" t="shared" si="46"/>
        <v>47252 1 0 0 1</v>
      </c>
      <c r="R256">
        <v>0</v>
      </c>
      <c r="S256">
        <v>1</v>
      </c>
      <c r="T256">
        <v>0</v>
      </c>
      <c r="U256">
        <v>0</v>
      </c>
      <c r="V256" t="str">
        <f ca="1" t="shared" si="47"/>
        <v>47252 0 1 0 0</v>
      </c>
    </row>
    <row r="257" spans="3:22">
      <c r="C257">
        <v>6083</v>
      </c>
      <c r="D257">
        <f ca="1" t="shared" si="50"/>
        <v>47480</v>
      </c>
      <c r="E257" cm="1">
        <f ca="1" t="array" ref="E257">INDEX(C:C,MATCH(MIN(ABS(C:C-D257)),ABS(C:C-D257),0))</f>
        <v>47483</v>
      </c>
      <c r="F257">
        <f t="shared" si="48"/>
        <v>12</v>
      </c>
      <c r="G257">
        <f ca="1" t="shared" si="49"/>
        <v>231</v>
      </c>
      <c r="H257">
        <v>1</v>
      </c>
      <c r="I257">
        <v>3</v>
      </c>
      <c r="J257">
        <v>2</v>
      </c>
      <c r="K257">
        <v>4</v>
      </c>
      <c r="L257" cm="1">
        <f t="array" ref="L257:O257">_xlfn.SORTBY($R$3:$U$3,H257:K257)</f>
        <v>0</v>
      </c>
      <c r="M257">
        <v>1</v>
      </c>
      <c r="N257">
        <v>0</v>
      </c>
      <c r="O257">
        <v>1</v>
      </c>
      <c r="P257" t="str">
        <f ca="1" t="shared" ref="P257:P300" si="51">E257&amp;" "&amp;L257&amp;" "&amp;M257&amp;" "&amp;N257&amp;" "&amp;O257</f>
        <v>47483 0 1 0 1</v>
      </c>
      <c r="R257">
        <v>0</v>
      </c>
      <c r="S257">
        <v>0</v>
      </c>
      <c r="T257">
        <v>0</v>
      </c>
      <c r="U257">
        <v>1</v>
      </c>
      <c r="V257" t="str">
        <f ca="1" t="shared" ref="V257:V300" si="52">E257&amp;" "&amp;R257&amp;" "&amp;S257&amp;" "&amp;T257&amp;" "&amp;U257</f>
        <v>47483 0 0 0 1</v>
      </c>
    </row>
    <row r="258" spans="3:22">
      <c r="C258">
        <v>6106</v>
      </c>
      <c r="D258">
        <f ca="1" t="shared" si="50"/>
        <v>47595</v>
      </c>
      <c r="E258" cm="1">
        <f ca="1" t="array" ref="E258">INDEX(C:C,MATCH(MIN(ABS(C:C-D258)),ABS(C:C-D258),0))</f>
        <v>47598</v>
      </c>
      <c r="F258">
        <f t="shared" si="48"/>
        <v>12</v>
      </c>
      <c r="G258">
        <f ca="1" t="shared" si="49"/>
        <v>115</v>
      </c>
      <c r="H258">
        <v>4</v>
      </c>
      <c r="I258">
        <v>2</v>
      </c>
      <c r="J258">
        <v>3</v>
      </c>
      <c r="K258">
        <v>1</v>
      </c>
      <c r="L258" cm="1">
        <f t="array" ref="L258:O258">_xlfn.SORTBY($R$3:$U$3,H258:K258)</f>
        <v>1</v>
      </c>
      <c r="M258">
        <v>0</v>
      </c>
      <c r="N258">
        <v>1</v>
      </c>
      <c r="O258">
        <v>0</v>
      </c>
      <c r="P258" t="str">
        <f ca="1" t="shared" si="51"/>
        <v>47598 1 0 1 0</v>
      </c>
      <c r="R258">
        <v>0</v>
      </c>
      <c r="S258">
        <v>0</v>
      </c>
      <c r="T258">
        <v>1</v>
      </c>
      <c r="U258">
        <v>0</v>
      </c>
      <c r="V258" t="str">
        <f ca="1" t="shared" si="52"/>
        <v>47598 0 0 1 0</v>
      </c>
    </row>
    <row r="259" spans="3:22">
      <c r="C259">
        <v>6129</v>
      </c>
      <c r="D259">
        <f ca="1" t="shared" si="50"/>
        <v>47826</v>
      </c>
      <c r="E259" cm="1">
        <f ca="1" t="array" ref="E259">INDEX(C:C,MATCH(MIN(ABS(C:C-D259)),ABS(C:C-D259),0))</f>
        <v>47829</v>
      </c>
      <c r="F259">
        <f t="shared" si="48"/>
        <v>12</v>
      </c>
      <c r="G259">
        <f ca="1" t="shared" si="49"/>
        <v>231</v>
      </c>
      <c r="H259">
        <v>1</v>
      </c>
      <c r="I259">
        <v>2</v>
      </c>
      <c r="J259">
        <v>3</v>
      </c>
      <c r="K259">
        <v>4</v>
      </c>
      <c r="L259" cm="1">
        <f t="array" ref="L259:O259">_xlfn.SORTBY($R$3:$U$3,H259:K259)</f>
        <v>0</v>
      </c>
      <c r="M259">
        <v>0</v>
      </c>
      <c r="N259">
        <v>1</v>
      </c>
      <c r="O259">
        <v>1</v>
      </c>
      <c r="P259" t="str">
        <f ca="1" t="shared" si="51"/>
        <v>47829 0 0 1 1</v>
      </c>
      <c r="R259">
        <v>0</v>
      </c>
      <c r="S259">
        <v>0</v>
      </c>
      <c r="T259">
        <v>1</v>
      </c>
      <c r="U259">
        <v>0</v>
      </c>
      <c r="V259" t="str">
        <f ca="1" t="shared" si="52"/>
        <v>47829 0 0 1 0</v>
      </c>
    </row>
    <row r="260" spans="3:22">
      <c r="C260">
        <v>6152</v>
      </c>
      <c r="D260">
        <f ca="1" t="shared" si="50"/>
        <v>47941</v>
      </c>
      <c r="E260" cm="1">
        <f ca="1" t="array" ref="E260">INDEX(C:C,MATCH(MIN(ABS(C:C-D260)),ABS(C:C-D260),0))</f>
        <v>47944</v>
      </c>
      <c r="F260">
        <f t="shared" si="48"/>
        <v>12</v>
      </c>
      <c r="G260">
        <f ca="1" t="shared" si="49"/>
        <v>115</v>
      </c>
      <c r="H260">
        <v>4</v>
      </c>
      <c r="I260">
        <v>3</v>
      </c>
      <c r="J260">
        <v>2</v>
      </c>
      <c r="K260">
        <v>1</v>
      </c>
      <c r="L260" cm="1">
        <f t="array" ref="L260:O260">_xlfn.SORTBY($R$3:$U$3,H260:K260)</f>
        <v>1</v>
      </c>
      <c r="M260">
        <v>1</v>
      </c>
      <c r="N260">
        <v>0</v>
      </c>
      <c r="O260">
        <v>0</v>
      </c>
      <c r="P260" t="str">
        <f ca="1" t="shared" si="51"/>
        <v>47944 1 1 0 0</v>
      </c>
      <c r="R260">
        <v>0</v>
      </c>
      <c r="S260">
        <v>0</v>
      </c>
      <c r="T260">
        <v>1</v>
      </c>
      <c r="U260">
        <v>0</v>
      </c>
      <c r="V260" t="str">
        <f ca="1" t="shared" si="52"/>
        <v>47944 0 0 1 0</v>
      </c>
    </row>
    <row r="261" spans="3:22">
      <c r="C261">
        <v>6175</v>
      </c>
      <c r="D261">
        <f ca="1" t="shared" si="50"/>
        <v>48172</v>
      </c>
      <c r="E261" cm="1">
        <f ca="1" t="array" ref="E261">INDEX(C:C,MATCH(MIN(ABS(C:C-D261)),ABS(C:C-D261),0))</f>
        <v>48175</v>
      </c>
      <c r="F261">
        <f t="shared" si="48"/>
        <v>13</v>
      </c>
      <c r="G261">
        <f ca="1" t="shared" si="49"/>
        <v>231</v>
      </c>
      <c r="H261">
        <v>1</v>
      </c>
      <c r="I261">
        <v>3</v>
      </c>
      <c r="J261">
        <v>2</v>
      </c>
      <c r="K261">
        <v>4</v>
      </c>
      <c r="L261" cm="1">
        <f t="array" ref="L261:O261">_xlfn.SORTBY($R$3:$U$3,H261:K261)</f>
        <v>0</v>
      </c>
      <c r="M261">
        <v>1</v>
      </c>
      <c r="N261">
        <v>0</v>
      </c>
      <c r="O261">
        <v>1</v>
      </c>
      <c r="P261" t="str">
        <f ca="1" t="shared" si="51"/>
        <v>48175 0 1 0 1</v>
      </c>
      <c r="R261">
        <v>1</v>
      </c>
      <c r="S261">
        <v>0</v>
      </c>
      <c r="T261">
        <v>0</v>
      </c>
      <c r="U261">
        <v>0</v>
      </c>
      <c r="V261" t="str">
        <f ca="1" t="shared" si="52"/>
        <v>48175 1 0 0 0</v>
      </c>
    </row>
    <row r="262" spans="3:22">
      <c r="C262">
        <v>6198</v>
      </c>
      <c r="D262">
        <f ca="1" t="shared" si="50"/>
        <v>48402</v>
      </c>
      <c r="E262" cm="1">
        <f ca="1" t="array" ref="E262">INDEX(C:C,MATCH(MIN(ABS(C:C-D262)),ABS(C:C-D262),0))</f>
        <v>48406</v>
      </c>
      <c r="F262">
        <f t="shared" si="48"/>
        <v>13</v>
      </c>
      <c r="G262">
        <f ca="1" t="shared" si="49"/>
        <v>231</v>
      </c>
      <c r="H262">
        <v>3</v>
      </c>
      <c r="I262">
        <v>2</v>
      </c>
      <c r="J262">
        <v>4</v>
      </c>
      <c r="K262">
        <v>1</v>
      </c>
      <c r="L262" cm="1">
        <f t="array" ref="L262:O262">_xlfn.SORTBY($R$3:$U$3,H262:K262)</f>
        <v>1</v>
      </c>
      <c r="M262">
        <v>0</v>
      </c>
      <c r="N262">
        <v>0</v>
      </c>
      <c r="O262">
        <v>1</v>
      </c>
      <c r="P262" t="str">
        <f ca="1" t="shared" si="51"/>
        <v>48406 1 0 0 1</v>
      </c>
      <c r="R262">
        <v>0</v>
      </c>
      <c r="S262">
        <v>1</v>
      </c>
      <c r="T262">
        <v>0</v>
      </c>
      <c r="U262">
        <v>0</v>
      </c>
      <c r="V262" t="str">
        <f ca="1" t="shared" si="52"/>
        <v>48406 0 1 0 0</v>
      </c>
    </row>
    <row r="263" spans="3:22">
      <c r="C263">
        <v>6221</v>
      </c>
      <c r="D263">
        <f ca="1" t="shared" si="50"/>
        <v>48633</v>
      </c>
      <c r="E263" cm="1">
        <f ca="1" t="array" ref="E263">INDEX(C:C,MATCH(MIN(ABS(C:C-D263)),ABS(C:C-D263),0))</f>
        <v>48637</v>
      </c>
      <c r="F263">
        <f t="shared" si="48"/>
        <v>13</v>
      </c>
      <c r="G263">
        <f ca="1" t="shared" si="49"/>
        <v>231</v>
      </c>
      <c r="H263">
        <v>2</v>
      </c>
      <c r="I263">
        <v>1</v>
      </c>
      <c r="J263">
        <v>4</v>
      </c>
      <c r="K263">
        <v>3</v>
      </c>
      <c r="L263" cm="1">
        <f t="array" ref="L263:O263">_xlfn.SORTBY($R$3:$U$3,H263:K263)</f>
        <v>0</v>
      </c>
      <c r="M263">
        <v>0</v>
      </c>
      <c r="N263">
        <v>1</v>
      </c>
      <c r="O263">
        <v>1</v>
      </c>
      <c r="P263" t="str">
        <f ca="1" t="shared" si="51"/>
        <v>48637 0 0 1 1</v>
      </c>
      <c r="R263">
        <v>1</v>
      </c>
      <c r="S263">
        <v>0</v>
      </c>
      <c r="T263">
        <v>0</v>
      </c>
      <c r="U263">
        <v>0</v>
      </c>
      <c r="V263" t="str">
        <f ca="1" t="shared" si="52"/>
        <v>48637 1 0 0 0</v>
      </c>
    </row>
    <row r="264" spans="3:22">
      <c r="C264">
        <v>6244</v>
      </c>
      <c r="D264">
        <f ca="1" t="shared" si="50"/>
        <v>48749</v>
      </c>
      <c r="E264" cm="1">
        <f ca="1" t="array" ref="E264">INDEX(C:C,MATCH(MIN(ABS(C:C-D264)),ABS(C:C-D264),0))</f>
        <v>48752</v>
      </c>
      <c r="F264">
        <f t="shared" si="48"/>
        <v>13</v>
      </c>
      <c r="G264">
        <f ca="1" t="shared" si="49"/>
        <v>115</v>
      </c>
      <c r="H264">
        <v>3</v>
      </c>
      <c r="I264">
        <v>4</v>
      </c>
      <c r="J264">
        <v>1</v>
      </c>
      <c r="K264">
        <v>2</v>
      </c>
      <c r="L264" cm="1">
        <f t="array" ref="L264:O264">_xlfn.SORTBY($R$3:$U$3,H264:K264)</f>
        <v>1</v>
      </c>
      <c r="M264">
        <v>1</v>
      </c>
      <c r="N264">
        <v>0</v>
      </c>
      <c r="O264">
        <v>0</v>
      </c>
      <c r="P264" t="str">
        <f ca="1" t="shared" si="51"/>
        <v>48752 1 1 0 0</v>
      </c>
      <c r="R264">
        <v>0</v>
      </c>
      <c r="S264">
        <v>1</v>
      </c>
      <c r="T264">
        <v>0</v>
      </c>
      <c r="U264">
        <v>0</v>
      </c>
      <c r="V264" t="str">
        <f ca="1" t="shared" si="52"/>
        <v>48752 0 1 0 0</v>
      </c>
    </row>
    <row r="265" spans="3:22">
      <c r="C265">
        <v>6267</v>
      </c>
      <c r="D265">
        <f ca="1" t="shared" si="50"/>
        <v>48979</v>
      </c>
      <c r="E265" cm="1">
        <f ca="1" t="array" ref="E265">INDEX(C:C,MATCH(MIN(ABS(C:C-D265)),ABS(C:C-D265),0))</f>
        <v>48983</v>
      </c>
      <c r="F265">
        <f t="shared" si="48"/>
        <v>13</v>
      </c>
      <c r="G265">
        <f ca="1" t="shared" si="49"/>
        <v>231</v>
      </c>
      <c r="H265">
        <v>1</v>
      </c>
      <c r="I265">
        <v>4</v>
      </c>
      <c r="J265">
        <v>3</v>
      </c>
      <c r="K265">
        <v>2</v>
      </c>
      <c r="L265" cm="1">
        <f t="array" ref="L265:O265">_xlfn.SORTBY($R$3:$U$3,H265:K265)</f>
        <v>0</v>
      </c>
      <c r="M265">
        <v>1</v>
      </c>
      <c r="N265">
        <v>1</v>
      </c>
      <c r="O265">
        <v>0</v>
      </c>
      <c r="P265" t="str">
        <f ca="1" t="shared" si="51"/>
        <v>48983 0 1 1 0</v>
      </c>
      <c r="R265">
        <v>0</v>
      </c>
      <c r="S265">
        <v>0</v>
      </c>
      <c r="T265">
        <v>1</v>
      </c>
      <c r="U265">
        <v>0</v>
      </c>
      <c r="V265" t="str">
        <f ca="1" t="shared" si="52"/>
        <v>48983 0 0 1 0</v>
      </c>
    </row>
    <row r="266" spans="3:22">
      <c r="C266">
        <v>6290</v>
      </c>
      <c r="D266">
        <f ca="1" t="shared" ref="D266:D301" si="53">B$1+OFFSET(D266,-20,0,1,1)</f>
        <v>49095</v>
      </c>
      <c r="E266" cm="1">
        <f ca="1" t="array" ref="E266">INDEX(C:C,MATCH(MIN(ABS(C:C-D266)),ABS(C:C-D266),0))</f>
        <v>49098</v>
      </c>
      <c r="F266">
        <f t="shared" si="48"/>
        <v>13</v>
      </c>
      <c r="G266">
        <f ca="1" t="shared" si="49"/>
        <v>115</v>
      </c>
      <c r="H266">
        <v>2</v>
      </c>
      <c r="I266">
        <v>3</v>
      </c>
      <c r="J266">
        <v>4</v>
      </c>
      <c r="K266">
        <v>1</v>
      </c>
      <c r="L266" cm="1">
        <f t="array" ref="L266:O266">_xlfn.SORTBY($R$3:$U$3,H266:K266)</f>
        <v>1</v>
      </c>
      <c r="M266">
        <v>0</v>
      </c>
      <c r="N266">
        <v>0</v>
      </c>
      <c r="O266">
        <v>1</v>
      </c>
      <c r="P266" t="str">
        <f ca="1" t="shared" si="51"/>
        <v>49098 1 0 0 1</v>
      </c>
      <c r="R266">
        <v>0</v>
      </c>
      <c r="S266">
        <v>0</v>
      </c>
      <c r="T266">
        <v>0</v>
      </c>
      <c r="U266">
        <v>1</v>
      </c>
      <c r="V266" t="str">
        <f ca="1" t="shared" si="52"/>
        <v>49098 0 0 0 1</v>
      </c>
    </row>
    <row r="267" spans="3:22">
      <c r="C267">
        <v>6313</v>
      </c>
      <c r="D267">
        <f ca="1" t="shared" si="53"/>
        <v>49326</v>
      </c>
      <c r="E267" cm="1">
        <f ca="1" t="array" ref="E267">INDEX(C:C,MATCH(MIN(ABS(C:C-D267)),ABS(C:C-D267),0))</f>
        <v>49329</v>
      </c>
      <c r="F267">
        <f t="shared" si="48"/>
        <v>13</v>
      </c>
      <c r="G267">
        <f ca="1" t="shared" si="49"/>
        <v>231</v>
      </c>
      <c r="H267">
        <v>1</v>
      </c>
      <c r="I267">
        <v>3</v>
      </c>
      <c r="J267">
        <v>2</v>
      </c>
      <c r="K267">
        <v>4</v>
      </c>
      <c r="L267" cm="1">
        <f t="array" ref="L267:O267">_xlfn.SORTBY($R$3:$U$3,H267:K267)</f>
        <v>0</v>
      </c>
      <c r="M267">
        <v>1</v>
      </c>
      <c r="N267">
        <v>0</v>
      </c>
      <c r="O267">
        <v>1</v>
      </c>
      <c r="P267" t="str">
        <f ca="1" t="shared" si="51"/>
        <v>49329 0 1 0 1</v>
      </c>
      <c r="R267">
        <v>1</v>
      </c>
      <c r="S267">
        <v>0</v>
      </c>
      <c r="T267">
        <v>0</v>
      </c>
      <c r="U267">
        <v>0</v>
      </c>
      <c r="V267" t="str">
        <f ca="1" t="shared" si="52"/>
        <v>49329 1 0 0 0</v>
      </c>
    </row>
    <row r="268" spans="3:22">
      <c r="C268">
        <v>6337</v>
      </c>
      <c r="D268">
        <f ca="1" t="shared" si="53"/>
        <v>49441</v>
      </c>
      <c r="E268" cm="1">
        <f ca="1" t="array" ref="E268">INDEX(C:C,MATCH(MIN(ABS(C:C-D268)),ABS(C:C-D268),0))</f>
        <v>49444</v>
      </c>
      <c r="F268">
        <f t="shared" si="48"/>
        <v>13</v>
      </c>
      <c r="G268">
        <f ca="1" t="shared" si="49"/>
        <v>115</v>
      </c>
      <c r="H268">
        <v>4</v>
      </c>
      <c r="I268">
        <v>2</v>
      </c>
      <c r="J268">
        <v>3</v>
      </c>
      <c r="K268">
        <v>1</v>
      </c>
      <c r="L268" cm="1">
        <f t="array" ref="L268:O268">_xlfn.SORTBY($R$3:$U$3,H268:K268)</f>
        <v>1</v>
      </c>
      <c r="M268">
        <v>0</v>
      </c>
      <c r="N268">
        <v>1</v>
      </c>
      <c r="O268">
        <v>0</v>
      </c>
      <c r="P268" t="str">
        <f ca="1" t="shared" si="51"/>
        <v>49444 1 0 1 0</v>
      </c>
      <c r="R268">
        <v>0</v>
      </c>
      <c r="S268">
        <v>0</v>
      </c>
      <c r="T268">
        <v>1</v>
      </c>
      <c r="U268">
        <v>0</v>
      </c>
      <c r="V268" t="str">
        <f ca="1" t="shared" si="52"/>
        <v>49444 0 0 1 0</v>
      </c>
    </row>
    <row r="269" spans="3:22">
      <c r="C269">
        <v>6360</v>
      </c>
      <c r="D269">
        <f ca="1" t="shared" si="53"/>
        <v>49672</v>
      </c>
      <c r="E269" cm="1">
        <f ca="1" t="array" ref="E269">INDEX(C:C,MATCH(MIN(ABS(C:C-D269)),ABS(C:C-D269),0))</f>
        <v>49675</v>
      </c>
      <c r="F269">
        <f t="shared" si="48"/>
        <v>13</v>
      </c>
      <c r="G269">
        <f ca="1" t="shared" si="49"/>
        <v>231</v>
      </c>
      <c r="H269">
        <v>1</v>
      </c>
      <c r="I269">
        <v>2</v>
      </c>
      <c r="J269">
        <v>3</v>
      </c>
      <c r="K269">
        <v>4</v>
      </c>
      <c r="L269" cm="1">
        <f t="array" ref="L269:O269">_xlfn.SORTBY($R$3:$U$3,H269:K269)</f>
        <v>0</v>
      </c>
      <c r="M269">
        <v>0</v>
      </c>
      <c r="N269">
        <v>1</v>
      </c>
      <c r="O269">
        <v>1</v>
      </c>
      <c r="P269" t="str">
        <f ca="1" t="shared" si="51"/>
        <v>49675 0 0 1 1</v>
      </c>
      <c r="R269">
        <v>0</v>
      </c>
      <c r="S269">
        <v>0</v>
      </c>
      <c r="T269">
        <v>0</v>
      </c>
      <c r="U269">
        <v>1</v>
      </c>
      <c r="V269" t="str">
        <f ca="1" t="shared" si="52"/>
        <v>49675 0 0 0 1</v>
      </c>
    </row>
    <row r="270" spans="3:22">
      <c r="C270">
        <v>6383</v>
      </c>
      <c r="D270">
        <f ca="1" t="shared" si="53"/>
        <v>49787</v>
      </c>
      <c r="E270" cm="1">
        <f ca="1" t="array" ref="E270">INDEX(C:C,MATCH(MIN(ABS(C:C-D270)),ABS(C:C-D270),0))</f>
        <v>49790</v>
      </c>
      <c r="F270">
        <f t="shared" si="48"/>
        <v>13</v>
      </c>
      <c r="G270">
        <f ca="1" t="shared" si="49"/>
        <v>115</v>
      </c>
      <c r="H270">
        <v>4</v>
      </c>
      <c r="I270">
        <v>3</v>
      </c>
      <c r="J270">
        <v>2</v>
      </c>
      <c r="K270">
        <v>1</v>
      </c>
      <c r="L270" cm="1">
        <f t="array" ref="L270:O270">_xlfn.SORTBY($R$3:$U$3,H270:K270)</f>
        <v>1</v>
      </c>
      <c r="M270">
        <v>1</v>
      </c>
      <c r="N270">
        <v>0</v>
      </c>
      <c r="O270">
        <v>0</v>
      </c>
      <c r="P270" t="str">
        <f ca="1" t="shared" si="51"/>
        <v>49790 1 1 0 0</v>
      </c>
      <c r="R270">
        <v>1</v>
      </c>
      <c r="S270">
        <v>0</v>
      </c>
      <c r="T270">
        <v>0</v>
      </c>
      <c r="U270">
        <v>0</v>
      </c>
      <c r="V270" t="str">
        <f ca="1" t="shared" si="52"/>
        <v>49790 1 0 0 0</v>
      </c>
    </row>
    <row r="271" spans="3:22">
      <c r="C271">
        <v>6406</v>
      </c>
      <c r="D271">
        <f ca="1" t="shared" si="53"/>
        <v>50018</v>
      </c>
      <c r="E271" cm="1">
        <f ca="1" t="array" ref="E271">INDEX(C:C,MATCH(MIN(ABS(C:C-D271)),ABS(C:C-D271),0))</f>
        <v>50021</v>
      </c>
      <c r="F271">
        <f t="shared" si="48"/>
        <v>13</v>
      </c>
      <c r="G271">
        <f ca="1" t="shared" si="49"/>
        <v>231</v>
      </c>
      <c r="H271">
        <v>3</v>
      </c>
      <c r="I271">
        <v>2</v>
      </c>
      <c r="J271">
        <v>4</v>
      </c>
      <c r="K271">
        <v>1</v>
      </c>
      <c r="L271" cm="1">
        <f t="array" ref="L271:O271">_xlfn.SORTBY($R$3:$U$3,H271:K271)</f>
        <v>1</v>
      </c>
      <c r="M271">
        <v>0</v>
      </c>
      <c r="N271">
        <v>0</v>
      </c>
      <c r="O271">
        <v>1</v>
      </c>
      <c r="P271" t="str">
        <f ca="1" t="shared" si="51"/>
        <v>50021 1 0 0 1</v>
      </c>
      <c r="R271">
        <v>0</v>
      </c>
      <c r="S271">
        <v>1</v>
      </c>
      <c r="T271">
        <v>0</v>
      </c>
      <c r="U271">
        <v>0</v>
      </c>
      <c r="V271" t="str">
        <f ca="1" t="shared" si="52"/>
        <v>50021 0 1 0 0</v>
      </c>
    </row>
    <row r="272" spans="3:22">
      <c r="C272">
        <v>6429</v>
      </c>
      <c r="D272">
        <f ca="1" t="shared" si="53"/>
        <v>50249</v>
      </c>
      <c r="E272" cm="1">
        <f ca="1" t="array" ref="E272">INDEX(C:C,MATCH(MIN(ABS(C:C-D272)),ABS(C:C-D272),0))</f>
        <v>50252</v>
      </c>
      <c r="F272">
        <f t="shared" si="48"/>
        <v>13</v>
      </c>
      <c r="G272">
        <f ca="1" t="shared" si="49"/>
        <v>231</v>
      </c>
      <c r="H272">
        <v>1</v>
      </c>
      <c r="I272">
        <v>3</v>
      </c>
      <c r="J272">
        <v>2</v>
      </c>
      <c r="K272">
        <v>4</v>
      </c>
      <c r="L272" cm="1">
        <f t="array" ref="L272:O272">_xlfn.SORTBY($R$3:$U$3,H272:K272)</f>
        <v>0</v>
      </c>
      <c r="M272">
        <v>1</v>
      </c>
      <c r="N272">
        <v>0</v>
      </c>
      <c r="O272">
        <v>1</v>
      </c>
      <c r="P272" t="str">
        <f ca="1" t="shared" si="51"/>
        <v>50252 0 1 0 1</v>
      </c>
      <c r="R272">
        <v>0</v>
      </c>
      <c r="S272">
        <v>0</v>
      </c>
      <c r="T272">
        <v>0</v>
      </c>
      <c r="U272">
        <v>1</v>
      </c>
      <c r="V272" t="str">
        <f ca="1" t="shared" si="52"/>
        <v>50252 0 0 0 1</v>
      </c>
    </row>
    <row r="273" spans="1:22">
      <c r="C273">
        <v>6452</v>
      </c>
      <c r="D273">
        <f ca="1" t="shared" si="53"/>
        <v>50480</v>
      </c>
      <c r="E273" cm="1">
        <f ca="1" t="array" ref="E273">INDEX(C:C,MATCH(MIN(ABS(C:C-D273)),ABS(C:C-D273),0))</f>
        <v>50483</v>
      </c>
      <c r="F273">
        <f t="shared" si="48"/>
        <v>13</v>
      </c>
      <c r="G273">
        <f ca="1" t="shared" si="49"/>
        <v>231</v>
      </c>
      <c r="H273">
        <v>3</v>
      </c>
      <c r="I273">
        <v>4</v>
      </c>
      <c r="J273">
        <v>1</v>
      </c>
      <c r="K273">
        <v>2</v>
      </c>
      <c r="L273" cm="1">
        <f t="array" ref="L273:O273">_xlfn.SORTBY($R$3:$U$3,H273:K273)</f>
        <v>1</v>
      </c>
      <c r="M273">
        <v>1</v>
      </c>
      <c r="N273">
        <v>0</v>
      </c>
      <c r="O273">
        <v>0</v>
      </c>
      <c r="P273" t="str">
        <f ca="1" t="shared" si="51"/>
        <v>50483 1 1 0 0</v>
      </c>
      <c r="R273">
        <v>0</v>
      </c>
      <c r="S273">
        <v>0</v>
      </c>
      <c r="T273">
        <v>1</v>
      </c>
      <c r="U273">
        <v>0</v>
      </c>
      <c r="V273" t="str">
        <f ca="1" t="shared" si="52"/>
        <v>50483 0 0 1 0</v>
      </c>
    </row>
    <row r="274" spans="1:22">
      <c r="C274">
        <v>6475</v>
      </c>
      <c r="D274">
        <f ca="1" t="shared" si="53"/>
        <v>50595</v>
      </c>
      <c r="E274" cm="1">
        <f ca="1" t="array" ref="E274">INDEX(C:C,MATCH(MIN(ABS(C:C-D274)),ABS(C:C-D274),0))</f>
        <v>50598</v>
      </c>
      <c r="F274">
        <f t="shared" si="48"/>
        <v>13</v>
      </c>
      <c r="G274">
        <f ca="1" t="shared" si="49"/>
        <v>115</v>
      </c>
      <c r="H274">
        <v>2</v>
      </c>
      <c r="I274">
        <v>1</v>
      </c>
      <c r="J274">
        <v>4</v>
      </c>
      <c r="K274">
        <v>3</v>
      </c>
      <c r="L274" cm="1">
        <f t="array" ref="L274:O274">_xlfn.SORTBY($R$3:$U$3,H274:K274)</f>
        <v>0</v>
      </c>
      <c r="M274">
        <v>0</v>
      </c>
      <c r="N274">
        <v>1</v>
      </c>
      <c r="O274">
        <v>1</v>
      </c>
      <c r="P274" t="str">
        <f ca="1" t="shared" si="51"/>
        <v>50598 0 0 1 1</v>
      </c>
      <c r="R274">
        <v>1</v>
      </c>
      <c r="S274">
        <v>0</v>
      </c>
      <c r="T274">
        <v>0</v>
      </c>
      <c r="U274">
        <v>0</v>
      </c>
      <c r="V274" t="str">
        <f ca="1" t="shared" si="52"/>
        <v>50598 1 0 0 0</v>
      </c>
    </row>
    <row r="275" spans="1:22">
      <c r="C275">
        <v>6498</v>
      </c>
      <c r="D275">
        <f ca="1" t="shared" si="53"/>
        <v>50826</v>
      </c>
      <c r="E275" cm="1">
        <f ca="1" t="array" ref="E275">INDEX(C:C,MATCH(MIN(ABS(C:C-D275)),ABS(C:C-D275),0))</f>
        <v>50829</v>
      </c>
      <c r="F275">
        <f t="shared" si="48"/>
        <v>13</v>
      </c>
      <c r="G275">
        <f ca="1" t="shared" si="49"/>
        <v>231</v>
      </c>
      <c r="H275">
        <v>2</v>
      </c>
      <c r="I275">
        <v>3</v>
      </c>
      <c r="J275">
        <v>4</v>
      </c>
      <c r="K275">
        <v>1</v>
      </c>
      <c r="L275" cm="1">
        <f t="array" ref="L275:O275">_xlfn.SORTBY($R$3:$U$3,H275:K275)</f>
        <v>1</v>
      </c>
      <c r="M275">
        <v>0</v>
      </c>
      <c r="N275">
        <v>0</v>
      </c>
      <c r="O275">
        <v>1</v>
      </c>
      <c r="P275" t="str">
        <f ca="1" t="shared" si="51"/>
        <v>50829 1 0 0 1</v>
      </c>
      <c r="R275">
        <v>1</v>
      </c>
      <c r="S275">
        <v>0</v>
      </c>
      <c r="T275">
        <v>0</v>
      </c>
      <c r="U275">
        <v>0</v>
      </c>
      <c r="V275" t="str">
        <f ca="1" t="shared" si="52"/>
        <v>50829 1 0 0 0</v>
      </c>
    </row>
    <row r="276" spans="1:22">
      <c r="C276">
        <v>6521</v>
      </c>
      <c r="D276">
        <f ca="1" t="shared" si="53"/>
        <v>50941</v>
      </c>
      <c r="E276" cm="1">
        <f ca="1" t="array" ref="E276">INDEX(C:C,MATCH(MIN(ABS(C:C-D276)),ABS(C:C-D276),0))</f>
        <v>50944</v>
      </c>
      <c r="F276">
        <f t="shared" ref="F276:F307" si="54">ROUNDDOWN((ROW(F276)-1)/20,0)</f>
        <v>13</v>
      </c>
      <c r="G276">
        <f ca="1" t="shared" ref="G276:G307" si="55">E276-E275</f>
        <v>115</v>
      </c>
      <c r="H276">
        <v>1</v>
      </c>
      <c r="I276">
        <v>4</v>
      </c>
      <c r="J276">
        <v>3</v>
      </c>
      <c r="K276">
        <v>2</v>
      </c>
      <c r="L276" cm="1">
        <f t="array" ref="L276:O276">_xlfn.SORTBY($R$3:$U$3,H276:K276)</f>
        <v>0</v>
      </c>
      <c r="M276">
        <v>1</v>
      </c>
      <c r="N276">
        <v>1</v>
      </c>
      <c r="O276">
        <v>0</v>
      </c>
      <c r="P276" t="str">
        <f ca="1" t="shared" si="51"/>
        <v>50944 0 1 1 0</v>
      </c>
      <c r="R276">
        <v>0</v>
      </c>
      <c r="S276">
        <v>0</v>
      </c>
      <c r="T276">
        <v>1</v>
      </c>
      <c r="U276">
        <v>0</v>
      </c>
      <c r="V276" t="str">
        <f ca="1" t="shared" si="52"/>
        <v>50944 0 0 1 0</v>
      </c>
    </row>
    <row r="277" spans="1:22">
      <c r="C277">
        <v>6544</v>
      </c>
      <c r="D277">
        <f ca="1" t="shared" si="53"/>
        <v>51172</v>
      </c>
      <c r="E277" cm="1">
        <f ca="1" t="array" ref="E277">INDEX(C:C,MATCH(MIN(ABS(C:C-D277)),ABS(C:C-D277),0))</f>
        <v>51175</v>
      </c>
      <c r="F277">
        <f t="shared" si="54"/>
        <v>13</v>
      </c>
      <c r="G277">
        <f ca="1" t="shared" si="55"/>
        <v>231</v>
      </c>
      <c r="H277">
        <v>4</v>
      </c>
      <c r="I277">
        <v>2</v>
      </c>
      <c r="J277">
        <v>3</v>
      </c>
      <c r="K277">
        <v>1</v>
      </c>
      <c r="L277" cm="1">
        <f t="array" ref="L277:O277">_xlfn.SORTBY($R$3:$U$3,H277:K277)</f>
        <v>1</v>
      </c>
      <c r="M277">
        <v>0</v>
      </c>
      <c r="N277">
        <v>1</v>
      </c>
      <c r="O277">
        <v>0</v>
      </c>
      <c r="P277" t="str">
        <f ca="1" t="shared" si="51"/>
        <v>51175 1 0 1 0</v>
      </c>
      <c r="R277">
        <v>0</v>
      </c>
      <c r="S277">
        <v>1</v>
      </c>
      <c r="T277">
        <v>0</v>
      </c>
      <c r="U277">
        <v>0</v>
      </c>
      <c r="V277" t="str">
        <f ca="1" t="shared" si="52"/>
        <v>51175 0 1 0 0</v>
      </c>
    </row>
    <row r="278" spans="1:22">
      <c r="C278">
        <v>6567</v>
      </c>
      <c r="D278">
        <f ca="1" t="shared" si="53"/>
        <v>51287</v>
      </c>
      <c r="E278" cm="1">
        <f ca="1" t="array" ref="E278">INDEX(C:C,MATCH(MIN(ABS(C:C-D278)),ABS(C:C-D278),0))</f>
        <v>51290</v>
      </c>
      <c r="F278">
        <f t="shared" si="54"/>
        <v>13</v>
      </c>
      <c r="G278">
        <f ca="1" t="shared" si="55"/>
        <v>115</v>
      </c>
      <c r="H278">
        <v>1</v>
      </c>
      <c r="I278">
        <v>3</v>
      </c>
      <c r="J278">
        <v>2</v>
      </c>
      <c r="K278">
        <v>4</v>
      </c>
      <c r="L278" cm="1">
        <f t="array" ref="L278:O278">_xlfn.SORTBY($R$3:$U$3,H278:K278)</f>
        <v>0</v>
      </c>
      <c r="M278">
        <v>1</v>
      </c>
      <c r="N278">
        <v>0</v>
      </c>
      <c r="O278">
        <v>1</v>
      </c>
      <c r="P278" t="str">
        <f ca="1" t="shared" si="51"/>
        <v>51290 0 1 0 1</v>
      </c>
      <c r="R278">
        <v>1</v>
      </c>
      <c r="S278">
        <v>0</v>
      </c>
      <c r="T278">
        <v>0</v>
      </c>
      <c r="U278">
        <v>0</v>
      </c>
      <c r="V278" t="str">
        <f ca="1" t="shared" si="52"/>
        <v>51290 1 0 0 0</v>
      </c>
    </row>
    <row r="279" spans="1:22">
      <c r="C279">
        <v>6590</v>
      </c>
      <c r="D279">
        <f ca="1" t="shared" si="53"/>
        <v>51518</v>
      </c>
      <c r="E279" cm="1">
        <f ca="1" t="array" ref="E279">INDEX(C:C,MATCH(MIN(ABS(C:C-D279)),ABS(C:C-D279),0))</f>
        <v>51521</v>
      </c>
      <c r="F279">
        <f t="shared" si="54"/>
        <v>13</v>
      </c>
      <c r="G279">
        <f ca="1" t="shared" si="55"/>
        <v>231</v>
      </c>
      <c r="H279">
        <v>4</v>
      </c>
      <c r="I279">
        <v>3</v>
      </c>
      <c r="J279">
        <v>2</v>
      </c>
      <c r="K279">
        <v>1</v>
      </c>
      <c r="L279" cm="1">
        <f t="array" ref="L279:O279">_xlfn.SORTBY($R$3:$U$3,H279:K279)</f>
        <v>1</v>
      </c>
      <c r="M279">
        <v>1</v>
      </c>
      <c r="N279">
        <v>0</v>
      </c>
      <c r="O279">
        <v>0</v>
      </c>
      <c r="P279" t="str">
        <f ca="1" t="shared" si="51"/>
        <v>51521 1 1 0 0</v>
      </c>
      <c r="R279">
        <v>0</v>
      </c>
      <c r="S279">
        <v>0</v>
      </c>
      <c r="T279">
        <v>1</v>
      </c>
      <c r="U279">
        <v>0</v>
      </c>
      <c r="V279" t="str">
        <f ca="1" t="shared" si="52"/>
        <v>51521 0 0 1 0</v>
      </c>
    </row>
    <row r="280" spans="1:22">
      <c r="C280">
        <v>6613</v>
      </c>
      <c r="D280">
        <f ca="1" t="shared" si="53"/>
        <v>51633</v>
      </c>
      <c r="E280" cm="1">
        <f ca="1" t="array" ref="E280">INDEX(C:C,MATCH(MIN(ABS(C:C-D280)),ABS(C:C-D280),0))</f>
        <v>51637</v>
      </c>
      <c r="F280">
        <f t="shared" si="54"/>
        <v>13</v>
      </c>
      <c r="G280">
        <f ca="1" t="shared" si="55"/>
        <v>116</v>
      </c>
      <c r="H280">
        <v>1</v>
      </c>
      <c r="I280">
        <v>2</v>
      </c>
      <c r="J280">
        <v>3</v>
      </c>
      <c r="K280">
        <v>4</v>
      </c>
      <c r="L280" cm="1">
        <f t="array" ref="L280:O280">_xlfn.SORTBY($R$3:$U$3,H280:K280)</f>
        <v>0</v>
      </c>
      <c r="M280">
        <v>0</v>
      </c>
      <c r="N280">
        <v>1</v>
      </c>
      <c r="O280">
        <v>1</v>
      </c>
      <c r="P280" t="str">
        <f ca="1" t="shared" si="51"/>
        <v>51637 0 0 1 1</v>
      </c>
      <c r="R280">
        <v>0</v>
      </c>
      <c r="S280">
        <v>1</v>
      </c>
      <c r="T280">
        <v>0</v>
      </c>
      <c r="U280">
        <v>0</v>
      </c>
      <c r="V280" t="str">
        <f ca="1" t="shared" si="52"/>
        <v>51637 0 1 0 0</v>
      </c>
    </row>
    <row r="281" spans="1:22">
      <c r="C281">
        <v>6637</v>
      </c>
      <c r="D281">
        <f ca="1" t="shared" si="53"/>
        <v>51864</v>
      </c>
      <c r="E281" cm="1">
        <f ca="1" t="array" ref="E281">INDEX(C:C,MATCH(MIN(ABS(C:C-D281)),ABS(C:C-D281),0))</f>
        <v>51867</v>
      </c>
      <c r="F281">
        <f t="shared" si="54"/>
        <v>14</v>
      </c>
      <c r="G281">
        <f ca="1" t="shared" si="55"/>
        <v>230</v>
      </c>
      <c r="H281">
        <v>3</v>
      </c>
      <c r="I281">
        <v>2</v>
      </c>
      <c r="J281">
        <v>4</v>
      </c>
      <c r="K281">
        <v>1</v>
      </c>
      <c r="L281" cm="1">
        <f t="array" ref="L281:O281">_xlfn.SORTBY($R$3:$U$3,H281:K281)</f>
        <v>1</v>
      </c>
      <c r="M281">
        <v>0</v>
      </c>
      <c r="N281">
        <v>0</v>
      </c>
      <c r="O281">
        <v>1</v>
      </c>
      <c r="P281" t="str">
        <f ca="1" t="shared" si="51"/>
        <v>51867 1 0 0 1</v>
      </c>
      <c r="R281">
        <v>0</v>
      </c>
      <c r="S281">
        <v>1</v>
      </c>
      <c r="T281">
        <v>0</v>
      </c>
      <c r="U281">
        <v>0</v>
      </c>
      <c r="V281" t="str">
        <f ca="1" t="shared" si="52"/>
        <v>51867 0 1 0 0</v>
      </c>
    </row>
    <row r="282" spans="1:22">
      <c r="C282">
        <v>6660</v>
      </c>
      <c r="D282">
        <f ca="1" t="shared" si="53"/>
        <v>52094</v>
      </c>
      <c r="E282" cm="1">
        <f ca="1" t="array" ref="E282">INDEX(C:C,MATCH(MIN(ABS(C:C-D282)),ABS(C:C-D282),0))</f>
        <v>52098</v>
      </c>
      <c r="F282">
        <f t="shared" si="54"/>
        <v>14</v>
      </c>
      <c r="G282">
        <f ca="1" t="shared" si="55"/>
        <v>231</v>
      </c>
      <c r="H282">
        <v>1</v>
      </c>
      <c r="I282">
        <v>3</v>
      </c>
      <c r="J282">
        <v>2</v>
      </c>
      <c r="K282">
        <v>4</v>
      </c>
      <c r="L282" cm="1">
        <f t="array" ref="L282:O282">_xlfn.SORTBY($R$3:$U$3,H282:K282)</f>
        <v>0</v>
      </c>
      <c r="M282">
        <v>1</v>
      </c>
      <c r="N282">
        <v>0</v>
      </c>
      <c r="O282">
        <v>1</v>
      </c>
      <c r="P282" t="str">
        <f ca="1" t="shared" si="51"/>
        <v>52098 0 1 0 1</v>
      </c>
      <c r="R282">
        <v>0</v>
      </c>
      <c r="S282">
        <v>0</v>
      </c>
      <c r="T282">
        <v>1</v>
      </c>
      <c r="U282">
        <v>0</v>
      </c>
      <c r="V282" t="str">
        <f ca="1" t="shared" si="52"/>
        <v>52098 0 0 1 0</v>
      </c>
    </row>
    <row r="283" spans="1:22">
      <c r="C283">
        <v>6683</v>
      </c>
      <c r="D283">
        <f ca="1" t="shared" si="53"/>
        <v>52325</v>
      </c>
      <c r="E283" cm="1">
        <f ca="1" t="array" ref="E283">INDEX(C:C,MATCH(MIN(ABS(C:C-D283)),ABS(C:C-D283),0))</f>
        <v>52329</v>
      </c>
      <c r="F283">
        <f t="shared" si="54"/>
        <v>14</v>
      </c>
      <c r="G283">
        <f ca="1" t="shared" si="55"/>
        <v>231</v>
      </c>
      <c r="H283">
        <v>3</v>
      </c>
      <c r="I283">
        <v>4</v>
      </c>
      <c r="J283">
        <v>1</v>
      </c>
      <c r="K283">
        <v>2</v>
      </c>
      <c r="L283" cm="1">
        <f t="array" ref="L283:O283">_xlfn.SORTBY($R$3:$U$3,H283:K283)</f>
        <v>1</v>
      </c>
      <c r="M283">
        <v>1</v>
      </c>
      <c r="N283">
        <v>0</v>
      </c>
      <c r="O283">
        <v>0</v>
      </c>
      <c r="P283" t="str">
        <f ca="1" t="shared" si="51"/>
        <v>52329 1 1 0 0</v>
      </c>
      <c r="R283">
        <v>0</v>
      </c>
      <c r="S283">
        <v>0</v>
      </c>
      <c r="T283">
        <v>1</v>
      </c>
      <c r="U283">
        <v>0</v>
      </c>
      <c r="V283" t="str">
        <f ca="1" t="shared" si="52"/>
        <v>52329 0 0 1 0</v>
      </c>
    </row>
    <row r="284" spans="1:22">
      <c r="C284">
        <v>6706</v>
      </c>
      <c r="D284">
        <f ca="1" t="shared" si="53"/>
        <v>52441</v>
      </c>
      <c r="E284" cm="1">
        <f ca="1" t="array" ref="E284">INDEX(C:C,MATCH(MIN(ABS(C:C-D284)),ABS(C:C-D284),0))</f>
        <v>52444</v>
      </c>
      <c r="F284">
        <f t="shared" si="54"/>
        <v>14</v>
      </c>
      <c r="G284">
        <f ca="1" t="shared" si="55"/>
        <v>115</v>
      </c>
      <c r="H284">
        <v>2</v>
      </c>
      <c r="I284">
        <v>1</v>
      </c>
      <c r="J284">
        <v>4</v>
      </c>
      <c r="K284">
        <v>3</v>
      </c>
      <c r="L284" cm="1">
        <f t="array" ref="L284:O284">_xlfn.SORTBY($R$3:$U$3,H284:K284)</f>
        <v>0</v>
      </c>
      <c r="M284">
        <v>0</v>
      </c>
      <c r="N284">
        <v>1</v>
      </c>
      <c r="O284">
        <v>1</v>
      </c>
      <c r="P284" t="str">
        <f ca="1" t="shared" si="51"/>
        <v>52444 0 0 1 1</v>
      </c>
      <c r="R284">
        <v>1</v>
      </c>
      <c r="S284">
        <v>0</v>
      </c>
      <c r="T284">
        <v>0</v>
      </c>
      <c r="U284">
        <v>0</v>
      </c>
      <c r="V284" t="str">
        <f ca="1" t="shared" si="52"/>
        <v>52444 1 0 0 0</v>
      </c>
    </row>
    <row r="285" spans="1:22">
      <c r="C285">
        <v>6729</v>
      </c>
      <c r="D285">
        <f ca="1" t="shared" si="53"/>
        <v>52671</v>
      </c>
      <c r="E285" cm="1">
        <f ca="1" t="array" ref="E285">INDEX(C:C,MATCH(MIN(ABS(C:C-D285)),ABS(C:C-D285),0))</f>
        <v>52675</v>
      </c>
      <c r="F285">
        <f t="shared" si="54"/>
        <v>14</v>
      </c>
      <c r="G285">
        <f ca="1" t="shared" si="55"/>
        <v>231</v>
      </c>
      <c r="H285">
        <v>2</v>
      </c>
      <c r="I285">
        <v>3</v>
      </c>
      <c r="J285">
        <v>4</v>
      </c>
      <c r="K285">
        <v>1</v>
      </c>
      <c r="L285" cm="1">
        <f t="array" ref="L285:O285">_xlfn.SORTBY($R$3:$U$3,H285:K285)</f>
        <v>1</v>
      </c>
      <c r="M285">
        <v>0</v>
      </c>
      <c r="N285">
        <v>0</v>
      </c>
      <c r="O285">
        <v>1</v>
      </c>
      <c r="P285" t="str">
        <f ca="1" t="shared" si="51"/>
        <v>52675 1 0 0 1</v>
      </c>
      <c r="R285">
        <v>1</v>
      </c>
      <c r="S285">
        <v>0</v>
      </c>
      <c r="T285">
        <v>0</v>
      </c>
      <c r="U285">
        <v>0</v>
      </c>
      <c r="V285" t="str">
        <f ca="1" t="shared" si="52"/>
        <v>52675 1 0 0 0</v>
      </c>
    </row>
    <row r="286" spans="1:22">
      <c r="C286">
        <v>6752</v>
      </c>
      <c r="D286">
        <f ca="1" t="shared" si="53"/>
        <v>52787</v>
      </c>
      <c r="E286" cm="1">
        <f ca="1" t="array" ref="E286">INDEX(C:C,MATCH(MIN(ABS(C:C-D286)),ABS(C:C-D286),0))</f>
        <v>52790</v>
      </c>
      <c r="F286">
        <f t="shared" si="54"/>
        <v>14</v>
      </c>
      <c r="G286">
        <f ca="1" t="shared" si="55"/>
        <v>115</v>
      </c>
      <c r="H286">
        <v>1</v>
      </c>
      <c r="I286">
        <v>4</v>
      </c>
      <c r="J286">
        <v>3</v>
      </c>
      <c r="K286">
        <v>2</v>
      </c>
      <c r="L286" cm="1">
        <f t="array" ref="L286:O286">_xlfn.SORTBY($R$3:$U$3,H286:K286)</f>
        <v>0</v>
      </c>
      <c r="M286">
        <v>1</v>
      </c>
      <c r="N286">
        <v>1</v>
      </c>
      <c r="O286">
        <v>0</v>
      </c>
      <c r="P286" t="str">
        <f ca="1" t="shared" si="51"/>
        <v>52790 0 1 1 0</v>
      </c>
      <c r="R286">
        <v>0</v>
      </c>
      <c r="S286">
        <v>0</v>
      </c>
      <c r="T286">
        <v>1</v>
      </c>
      <c r="U286">
        <v>0</v>
      </c>
      <c r="V286" t="str">
        <f ca="1" t="shared" si="52"/>
        <v>52790 0 0 1 0</v>
      </c>
    </row>
    <row r="287" spans="1:22">
      <c r="A287" t="s">
        <v>83</v>
      </c>
      <c r="C287">
        <v>6775</v>
      </c>
      <c r="D287">
        <f ca="1" t="shared" si="53"/>
        <v>53018</v>
      </c>
      <c r="E287" cm="1">
        <f ca="1" t="array" ref="E287">INDEX(C:C,MATCH(MIN(ABS(C:C-D287)),ABS(C:C-D287),0))</f>
        <v>53021</v>
      </c>
      <c r="F287">
        <f t="shared" si="54"/>
        <v>14</v>
      </c>
      <c r="G287">
        <f ca="1" t="shared" si="55"/>
        <v>231</v>
      </c>
      <c r="H287">
        <v>4</v>
      </c>
      <c r="I287">
        <v>2</v>
      </c>
      <c r="J287">
        <v>3</v>
      </c>
      <c r="K287">
        <v>1</v>
      </c>
      <c r="L287" cm="1">
        <f t="array" ref="L287:O287">_xlfn.SORTBY($R$3:$U$3,H287:K287)</f>
        <v>1</v>
      </c>
      <c r="M287">
        <v>0</v>
      </c>
      <c r="N287">
        <v>1</v>
      </c>
      <c r="O287">
        <v>0</v>
      </c>
      <c r="P287" t="str">
        <f ca="1" t="shared" si="51"/>
        <v>53021 1 0 1 0</v>
      </c>
      <c r="R287">
        <v>0</v>
      </c>
      <c r="S287">
        <v>0</v>
      </c>
      <c r="T287">
        <v>1</v>
      </c>
      <c r="U287">
        <v>0</v>
      </c>
      <c r="V287" t="str">
        <f ca="1" t="shared" si="52"/>
        <v>53021 0 0 1 0</v>
      </c>
    </row>
    <row r="288" spans="1:22">
      <c r="C288">
        <v>6798</v>
      </c>
      <c r="D288">
        <f ca="1" t="shared" si="53"/>
        <v>53133</v>
      </c>
      <c r="E288" cm="1">
        <f ca="1" t="array" ref="E288">INDEX(C:C,MATCH(MIN(ABS(C:C-D288)),ABS(C:C-D288),0))</f>
        <v>53137</v>
      </c>
      <c r="F288">
        <f t="shared" si="54"/>
        <v>14</v>
      </c>
      <c r="G288">
        <f ca="1" t="shared" si="55"/>
        <v>116</v>
      </c>
      <c r="H288">
        <v>1</v>
      </c>
      <c r="I288">
        <v>3</v>
      </c>
      <c r="J288">
        <v>2</v>
      </c>
      <c r="K288">
        <v>4</v>
      </c>
      <c r="L288" cm="1">
        <f t="array" ref="L288:O288">_xlfn.SORTBY($R$3:$U$3,H288:K288)</f>
        <v>0</v>
      </c>
      <c r="M288">
        <v>1</v>
      </c>
      <c r="N288">
        <v>0</v>
      </c>
      <c r="O288">
        <v>1</v>
      </c>
      <c r="P288" t="str">
        <f ca="1" t="shared" si="51"/>
        <v>53137 0 1 0 1</v>
      </c>
      <c r="R288">
        <v>0</v>
      </c>
      <c r="S288">
        <v>0</v>
      </c>
      <c r="T288">
        <v>1</v>
      </c>
      <c r="U288">
        <v>0</v>
      </c>
      <c r="V288" t="str">
        <f ca="1" t="shared" si="52"/>
        <v>53137 0 0 1 0</v>
      </c>
    </row>
    <row r="289" spans="1:22">
      <c r="C289">
        <v>6821</v>
      </c>
      <c r="D289">
        <f ca="1" t="shared" si="53"/>
        <v>53364</v>
      </c>
      <c r="E289" cm="1">
        <f ca="1" t="array" ref="E289">INDEX(C:C,MATCH(MIN(ABS(C:C-D289)),ABS(C:C-D289),0))</f>
        <v>53367</v>
      </c>
      <c r="F289">
        <f t="shared" si="54"/>
        <v>14</v>
      </c>
      <c r="G289">
        <f ca="1" t="shared" si="55"/>
        <v>230</v>
      </c>
      <c r="H289">
        <v>4</v>
      </c>
      <c r="I289">
        <v>3</v>
      </c>
      <c r="J289">
        <v>2</v>
      </c>
      <c r="K289">
        <v>1</v>
      </c>
      <c r="L289" cm="1">
        <f t="array" ref="L289:O289">_xlfn.SORTBY($R$3:$U$3,H289:K289)</f>
        <v>1</v>
      </c>
      <c r="M289">
        <v>1</v>
      </c>
      <c r="N289">
        <v>0</v>
      </c>
      <c r="O289">
        <v>0</v>
      </c>
      <c r="P289" t="str">
        <f ca="1" t="shared" si="51"/>
        <v>53367 1 1 0 0</v>
      </c>
      <c r="R289">
        <v>0</v>
      </c>
      <c r="S289">
        <v>0</v>
      </c>
      <c r="T289">
        <v>1</v>
      </c>
      <c r="U289">
        <v>0</v>
      </c>
      <c r="V289" t="str">
        <f ca="1" t="shared" si="52"/>
        <v>53367 0 0 1 0</v>
      </c>
    </row>
    <row r="290" spans="1:22">
      <c r="C290">
        <v>6844</v>
      </c>
      <c r="D290">
        <f ca="1" t="shared" si="53"/>
        <v>53479</v>
      </c>
      <c r="E290" cm="1">
        <f ca="1" t="array" ref="E290">INDEX(C:C,MATCH(MIN(ABS(C:C-D290)),ABS(C:C-D290),0))</f>
        <v>53483</v>
      </c>
      <c r="F290">
        <f t="shared" si="54"/>
        <v>14</v>
      </c>
      <c r="G290">
        <f ca="1" t="shared" si="55"/>
        <v>116</v>
      </c>
      <c r="H290">
        <v>1</v>
      </c>
      <c r="I290">
        <v>2</v>
      </c>
      <c r="J290">
        <v>3</v>
      </c>
      <c r="K290">
        <v>4</v>
      </c>
      <c r="L290" cm="1">
        <f t="array" ref="L290:O290">_xlfn.SORTBY($R$3:$U$3,H290:K290)</f>
        <v>0</v>
      </c>
      <c r="M290">
        <v>0</v>
      </c>
      <c r="N290">
        <v>1</v>
      </c>
      <c r="O290">
        <v>1</v>
      </c>
      <c r="P290" t="str">
        <f ca="1" t="shared" si="51"/>
        <v>53483 0 0 1 1</v>
      </c>
      <c r="R290">
        <v>0</v>
      </c>
      <c r="S290">
        <v>1</v>
      </c>
      <c r="T290">
        <v>0</v>
      </c>
      <c r="U290">
        <v>0</v>
      </c>
      <c r="V290" t="str">
        <f ca="1" t="shared" si="52"/>
        <v>53483 0 1 0 0</v>
      </c>
    </row>
    <row r="291" spans="1:22">
      <c r="C291">
        <v>6867</v>
      </c>
      <c r="D291">
        <f ca="1" t="shared" si="53"/>
        <v>53710</v>
      </c>
      <c r="E291" cm="1">
        <f ca="1" t="array" ref="E291">INDEX(C:C,MATCH(MIN(ABS(C:C-D291)),ABS(C:C-D291),0))</f>
        <v>53713</v>
      </c>
      <c r="F291">
        <f t="shared" si="54"/>
        <v>14</v>
      </c>
      <c r="G291">
        <f ca="1" t="shared" si="55"/>
        <v>230</v>
      </c>
      <c r="H291">
        <v>1</v>
      </c>
      <c r="I291">
        <v>3</v>
      </c>
      <c r="J291">
        <v>2</v>
      </c>
      <c r="K291">
        <v>4</v>
      </c>
      <c r="L291" cm="1">
        <f t="array" ref="L291:O291">_xlfn.SORTBY($R$3:$U$3,H291:K291)</f>
        <v>0</v>
      </c>
      <c r="M291">
        <v>1</v>
      </c>
      <c r="N291">
        <v>0</v>
      </c>
      <c r="O291">
        <v>1</v>
      </c>
      <c r="P291" t="str">
        <f ca="1" t="shared" si="51"/>
        <v>53713 0 1 0 1</v>
      </c>
      <c r="R291">
        <v>0</v>
      </c>
      <c r="S291">
        <v>0</v>
      </c>
      <c r="T291">
        <v>0</v>
      </c>
      <c r="U291">
        <v>1</v>
      </c>
      <c r="V291" t="str">
        <f ca="1" t="shared" si="52"/>
        <v>53713 0 0 0 1</v>
      </c>
    </row>
    <row r="292" spans="1:22">
      <c r="C292">
        <v>6890</v>
      </c>
      <c r="D292">
        <f ca="1" t="shared" si="53"/>
        <v>53941</v>
      </c>
      <c r="E292" cm="1">
        <f ca="1" t="array" ref="E292">INDEX(C:C,MATCH(MIN(ABS(C:C-D292)),ABS(C:C-D292),0))</f>
        <v>53944</v>
      </c>
      <c r="F292">
        <f t="shared" si="54"/>
        <v>14</v>
      </c>
      <c r="G292">
        <f ca="1" t="shared" si="55"/>
        <v>231</v>
      </c>
      <c r="H292">
        <v>3</v>
      </c>
      <c r="I292">
        <v>2</v>
      </c>
      <c r="J292">
        <v>4</v>
      </c>
      <c r="K292">
        <v>1</v>
      </c>
      <c r="L292" cm="1">
        <f t="array" ref="L292:O292">_xlfn.SORTBY($R$3:$U$3,H292:K292)</f>
        <v>1</v>
      </c>
      <c r="M292">
        <v>0</v>
      </c>
      <c r="N292">
        <v>0</v>
      </c>
      <c r="O292">
        <v>1</v>
      </c>
      <c r="P292" t="str">
        <f ca="1" t="shared" si="51"/>
        <v>53944 1 0 0 1</v>
      </c>
      <c r="R292">
        <v>1</v>
      </c>
      <c r="S292">
        <v>0</v>
      </c>
      <c r="T292">
        <v>0</v>
      </c>
      <c r="U292">
        <v>0</v>
      </c>
      <c r="V292" t="str">
        <f ca="1" t="shared" si="52"/>
        <v>53944 1 0 0 0</v>
      </c>
    </row>
    <row r="293" spans="1:22">
      <c r="C293">
        <v>6913</v>
      </c>
      <c r="D293">
        <f ca="1" t="shared" si="53"/>
        <v>54172</v>
      </c>
      <c r="E293" cm="1">
        <f ca="1" t="array" ref="E293">INDEX(C:C,MATCH(MIN(ABS(C:C-D293)),ABS(C:C-D293),0))</f>
        <v>54175</v>
      </c>
      <c r="F293">
        <f t="shared" si="54"/>
        <v>14</v>
      </c>
      <c r="G293">
        <f ca="1" t="shared" si="55"/>
        <v>231</v>
      </c>
      <c r="H293">
        <v>2</v>
      </c>
      <c r="I293">
        <v>1</v>
      </c>
      <c r="J293">
        <v>4</v>
      </c>
      <c r="K293">
        <v>3</v>
      </c>
      <c r="L293" cm="1">
        <f t="array" ref="L293:O293">_xlfn.SORTBY($R$3:$U$3,H293:K293)</f>
        <v>0</v>
      </c>
      <c r="M293">
        <v>0</v>
      </c>
      <c r="N293">
        <v>1</v>
      </c>
      <c r="O293">
        <v>1</v>
      </c>
      <c r="P293" t="str">
        <f ca="1" t="shared" si="51"/>
        <v>54175 0 0 1 1</v>
      </c>
      <c r="R293">
        <v>0</v>
      </c>
      <c r="S293">
        <v>1</v>
      </c>
      <c r="T293">
        <v>0</v>
      </c>
      <c r="U293">
        <v>0</v>
      </c>
      <c r="V293" t="str">
        <f ca="1" t="shared" si="52"/>
        <v>54175 0 1 0 0</v>
      </c>
    </row>
    <row r="294" spans="1:22">
      <c r="C294">
        <v>6937</v>
      </c>
      <c r="D294">
        <f ca="1" t="shared" si="53"/>
        <v>54287</v>
      </c>
      <c r="E294" cm="1">
        <f ca="1" t="array" ref="E294">INDEX(C:C,MATCH(MIN(ABS(C:C-D294)),ABS(C:C-D294),0))</f>
        <v>54290</v>
      </c>
      <c r="F294">
        <f t="shared" si="54"/>
        <v>14</v>
      </c>
      <c r="G294">
        <f ca="1" t="shared" si="55"/>
        <v>115</v>
      </c>
      <c r="H294">
        <v>3</v>
      </c>
      <c r="I294">
        <v>4</v>
      </c>
      <c r="J294">
        <v>1</v>
      </c>
      <c r="K294">
        <v>2</v>
      </c>
      <c r="L294" cm="1">
        <f t="array" ref="L294:O294">_xlfn.SORTBY($R$3:$U$3,H294:K294)</f>
        <v>1</v>
      </c>
      <c r="M294">
        <v>1</v>
      </c>
      <c r="N294">
        <v>0</v>
      </c>
      <c r="O294">
        <v>0</v>
      </c>
      <c r="P294" t="str">
        <f ca="1" t="shared" si="51"/>
        <v>54290 1 1 0 0</v>
      </c>
      <c r="R294">
        <v>1</v>
      </c>
      <c r="S294">
        <v>0</v>
      </c>
      <c r="T294">
        <v>0</v>
      </c>
      <c r="U294">
        <v>0</v>
      </c>
      <c r="V294" t="str">
        <f ca="1" t="shared" si="52"/>
        <v>54290 1 0 0 0</v>
      </c>
    </row>
    <row r="295" spans="1:22">
      <c r="C295">
        <v>6960</v>
      </c>
      <c r="D295">
        <f ca="1" t="shared" si="53"/>
        <v>54518</v>
      </c>
      <c r="E295" cm="1">
        <f ca="1" t="array" ref="E295">INDEX(C:C,MATCH(MIN(ABS(C:C-D295)),ABS(C:C-D295),0))</f>
        <v>54521</v>
      </c>
      <c r="F295">
        <f t="shared" si="54"/>
        <v>14</v>
      </c>
      <c r="G295">
        <f ca="1" t="shared" si="55"/>
        <v>231</v>
      </c>
      <c r="H295">
        <v>1</v>
      </c>
      <c r="I295">
        <v>4</v>
      </c>
      <c r="J295">
        <v>3</v>
      </c>
      <c r="K295">
        <v>2</v>
      </c>
      <c r="L295" cm="1">
        <f t="array" ref="L295:O295">_xlfn.SORTBY($R$3:$U$3,H295:K295)</f>
        <v>0</v>
      </c>
      <c r="M295">
        <v>1</v>
      </c>
      <c r="N295">
        <v>1</v>
      </c>
      <c r="O295">
        <v>0</v>
      </c>
      <c r="P295" t="str">
        <f ca="1" t="shared" si="51"/>
        <v>54521 0 1 1 0</v>
      </c>
      <c r="R295">
        <v>0</v>
      </c>
      <c r="S295">
        <v>1</v>
      </c>
      <c r="T295">
        <v>0</v>
      </c>
      <c r="U295">
        <v>0</v>
      </c>
      <c r="V295" t="str">
        <f ca="1" t="shared" si="52"/>
        <v>54521 0 1 0 0</v>
      </c>
    </row>
    <row r="296" spans="1:22">
      <c r="C296">
        <v>6983</v>
      </c>
      <c r="D296">
        <f ca="1" t="shared" si="53"/>
        <v>54633</v>
      </c>
      <c r="E296" cm="1">
        <f ca="1" t="array" ref="E296">INDEX(C:C,MATCH(MIN(ABS(C:C-D296)),ABS(C:C-D296),0))</f>
        <v>54637</v>
      </c>
      <c r="F296">
        <f t="shared" si="54"/>
        <v>14</v>
      </c>
      <c r="G296">
        <f ca="1" t="shared" si="55"/>
        <v>116</v>
      </c>
      <c r="H296">
        <v>2</v>
      </c>
      <c r="I296">
        <v>3</v>
      </c>
      <c r="J296">
        <v>4</v>
      </c>
      <c r="K296">
        <v>1</v>
      </c>
      <c r="L296" cm="1">
        <f t="array" ref="L296:O296">_xlfn.SORTBY($R$3:$U$3,H296:K296)</f>
        <v>1</v>
      </c>
      <c r="M296">
        <v>0</v>
      </c>
      <c r="N296">
        <v>0</v>
      </c>
      <c r="O296">
        <v>1</v>
      </c>
      <c r="P296" t="str">
        <f ca="1" t="shared" si="51"/>
        <v>54637 1 0 0 1</v>
      </c>
      <c r="R296">
        <v>0</v>
      </c>
      <c r="S296">
        <v>1</v>
      </c>
      <c r="T296">
        <v>0</v>
      </c>
      <c r="U296">
        <v>0</v>
      </c>
      <c r="V296" t="str">
        <f ca="1" t="shared" si="52"/>
        <v>54637 0 1 0 0</v>
      </c>
    </row>
    <row r="297" spans="1:22">
      <c r="C297">
        <v>7006</v>
      </c>
      <c r="D297">
        <f ca="1" t="shared" si="53"/>
        <v>54864</v>
      </c>
      <c r="E297" cm="1">
        <f ca="1" t="array" ref="E297">INDEX(C:C,MATCH(MIN(ABS(C:C-D297)),ABS(C:C-D297),0))</f>
        <v>54867</v>
      </c>
      <c r="F297">
        <f t="shared" si="54"/>
        <v>14</v>
      </c>
      <c r="G297">
        <f ca="1" t="shared" si="55"/>
        <v>230</v>
      </c>
      <c r="H297">
        <v>1</v>
      </c>
      <c r="I297">
        <v>3</v>
      </c>
      <c r="J297">
        <v>2</v>
      </c>
      <c r="K297">
        <v>4</v>
      </c>
      <c r="L297" cm="1">
        <f t="array" ref="L297:O297">_xlfn.SORTBY($R$3:$U$3,H297:K297)</f>
        <v>0</v>
      </c>
      <c r="M297">
        <v>1</v>
      </c>
      <c r="N297">
        <v>0</v>
      </c>
      <c r="O297">
        <v>1</v>
      </c>
      <c r="P297" t="str">
        <f ca="1" t="shared" si="51"/>
        <v>54867 0 1 0 1</v>
      </c>
      <c r="R297">
        <v>0</v>
      </c>
      <c r="S297">
        <v>0</v>
      </c>
      <c r="T297">
        <v>1</v>
      </c>
      <c r="U297">
        <v>0</v>
      </c>
      <c r="V297" t="str">
        <f ca="1" t="shared" si="52"/>
        <v>54867 0 0 1 0</v>
      </c>
    </row>
    <row r="298" spans="1:22">
      <c r="C298">
        <v>7029</v>
      </c>
      <c r="D298">
        <f ca="1" t="shared" si="53"/>
        <v>54979</v>
      </c>
      <c r="E298" cm="1">
        <f ca="1" t="array" ref="E298">INDEX(C:C,MATCH(MIN(ABS(C:C-D298)),ABS(C:C-D298),0))</f>
        <v>54983</v>
      </c>
      <c r="F298">
        <f t="shared" si="54"/>
        <v>14</v>
      </c>
      <c r="G298">
        <f ca="1" t="shared" si="55"/>
        <v>116</v>
      </c>
      <c r="H298">
        <v>4</v>
      </c>
      <c r="I298">
        <v>2</v>
      </c>
      <c r="J298">
        <v>3</v>
      </c>
      <c r="K298">
        <v>1</v>
      </c>
      <c r="L298" cm="1">
        <f t="array" ref="L298:O298">_xlfn.SORTBY($R$3:$U$3,H298:K298)</f>
        <v>1</v>
      </c>
      <c r="M298">
        <v>0</v>
      </c>
      <c r="N298">
        <v>1</v>
      </c>
      <c r="O298">
        <v>0</v>
      </c>
      <c r="P298" t="str">
        <f ca="1" t="shared" si="51"/>
        <v>54983 1 0 1 0</v>
      </c>
      <c r="R298">
        <v>1</v>
      </c>
      <c r="S298">
        <v>0</v>
      </c>
      <c r="T298">
        <v>0</v>
      </c>
      <c r="U298">
        <v>0</v>
      </c>
      <c r="V298" t="str">
        <f ca="1" t="shared" si="52"/>
        <v>54983 1 0 0 0</v>
      </c>
    </row>
    <row r="299" spans="1:22">
      <c r="C299">
        <v>7052</v>
      </c>
      <c r="D299">
        <f ca="1" t="shared" si="53"/>
        <v>55210</v>
      </c>
      <c r="E299" cm="1">
        <f ca="1" t="array" ref="E299">INDEX(C:C,MATCH(MIN(ABS(C:C-D299)),ABS(C:C-D299),0))</f>
        <v>55213</v>
      </c>
      <c r="F299">
        <f t="shared" si="54"/>
        <v>14</v>
      </c>
      <c r="G299">
        <f ca="1" t="shared" si="55"/>
        <v>230</v>
      </c>
      <c r="H299">
        <v>1</v>
      </c>
      <c r="I299">
        <v>2</v>
      </c>
      <c r="J299">
        <v>3</v>
      </c>
      <c r="K299">
        <v>4</v>
      </c>
      <c r="L299" cm="1">
        <f t="array" ref="L299:O299">_xlfn.SORTBY($R$3:$U$3,H299:K299)</f>
        <v>0</v>
      </c>
      <c r="M299">
        <v>0</v>
      </c>
      <c r="N299">
        <v>1</v>
      </c>
      <c r="O299">
        <v>1</v>
      </c>
      <c r="P299" t="str">
        <f ca="1" t="shared" si="51"/>
        <v>55213 0 0 1 1</v>
      </c>
      <c r="R299">
        <v>0</v>
      </c>
      <c r="S299">
        <v>1</v>
      </c>
      <c r="T299">
        <v>0</v>
      </c>
      <c r="U299">
        <v>0</v>
      </c>
      <c r="V299" t="str">
        <f ca="1" t="shared" si="52"/>
        <v>55213 0 1 0 0</v>
      </c>
    </row>
    <row r="300" spans="1:22">
      <c r="C300">
        <v>7075</v>
      </c>
      <c r="D300">
        <f ca="1" t="shared" si="53"/>
        <v>55325</v>
      </c>
      <c r="E300" cm="1">
        <f ca="1" t="array" ref="E300">INDEX(C:C,MATCH(MIN(ABS(C:C-D300)),ABS(C:C-D300),0))</f>
        <v>55329</v>
      </c>
      <c r="F300">
        <f t="shared" si="54"/>
        <v>14</v>
      </c>
      <c r="G300">
        <f ca="1" t="shared" si="55"/>
        <v>116</v>
      </c>
      <c r="H300">
        <v>4</v>
      </c>
      <c r="I300">
        <v>3</v>
      </c>
      <c r="J300">
        <v>2</v>
      </c>
      <c r="K300">
        <v>1</v>
      </c>
      <c r="L300">
        <v>1</v>
      </c>
      <c r="M300">
        <v>1</v>
      </c>
      <c r="N300">
        <v>0</v>
      </c>
      <c r="O300">
        <v>0</v>
      </c>
      <c r="P300" t="str">
        <f ca="1" t="shared" si="51"/>
        <v>55329 1 1 0 0</v>
      </c>
      <c r="R300">
        <v>1</v>
      </c>
      <c r="S300">
        <v>0</v>
      </c>
      <c r="T300">
        <v>0</v>
      </c>
      <c r="U300">
        <v>0</v>
      </c>
      <c r="V300" t="str">
        <f ca="1" t="shared" si="52"/>
        <v>55329 1 0 0 0</v>
      </c>
    </row>
    <row r="301" spans="1:22">
      <c r="A301" t="s">
        <v>84</v>
      </c>
      <c r="D301">
        <f ca="1" t="shared" si="53"/>
        <v>55556</v>
      </c>
      <c r="E301" cm="1">
        <f ca="1" t="array" ref="E301">INDEX(C:C,MATCH(MIN(ABS(C:C-D301)),ABS(C:C-D301),0))</f>
        <v>55560</v>
      </c>
      <c r="G301">
        <f>6000/260*5</f>
        <v>115.384615384615</v>
      </c>
      <c r="H301">
        <v>1</v>
      </c>
      <c r="I301">
        <v>3</v>
      </c>
      <c r="J301">
        <v>2</v>
      </c>
      <c r="K301">
        <v>4</v>
      </c>
      <c r="L301">
        <v>1</v>
      </c>
      <c r="M301">
        <v>0</v>
      </c>
      <c r="N301">
        <v>0</v>
      </c>
      <c r="O301">
        <v>0</v>
      </c>
      <c r="P301" t="str">
        <f ca="1" t="shared" ref="P301:P333" si="56">E301&amp;" "&amp;L301&amp;" "&amp;M301&amp;" "&amp;N301&amp;" "&amp;O301</f>
        <v>55560 1 0 0 0</v>
      </c>
      <c r="V301" t="s">
        <v>85</v>
      </c>
    </row>
    <row r="302" spans="1:22">
      <c r="D302">
        <f ca="1" t="shared" ref="D302:D333" si="57">B$1+OFFSET(D302,-20,0,1,1)</f>
        <v>55786</v>
      </c>
      <c r="E302">
        <f ca="1">ROUND(E301+$G$301,0)</f>
        <v>55675</v>
      </c>
      <c r="G302">
        <f ca="1">E302-E301</f>
        <v>115</v>
      </c>
      <c r="H302">
        <v>3</v>
      </c>
      <c r="I302">
        <v>2</v>
      </c>
      <c r="J302">
        <v>4</v>
      </c>
      <c r="K302">
        <v>1</v>
      </c>
      <c r="L302">
        <v>1</v>
      </c>
      <c r="M302">
        <v>0</v>
      </c>
      <c r="N302">
        <v>0</v>
      </c>
      <c r="O302">
        <v>0</v>
      </c>
      <c r="P302" t="str">
        <f ca="1" t="shared" si="56"/>
        <v>55675 1 0 0 0</v>
      </c>
    </row>
    <row r="303" spans="1:22">
      <c r="D303">
        <f ca="1" t="shared" si="57"/>
        <v>56017</v>
      </c>
      <c r="E303">
        <f ca="1" t="shared" ref="E303:E333" si="58">ROUND(E302+$G$301,0)</f>
        <v>55790</v>
      </c>
      <c r="G303">
        <f ca="1" t="shared" ref="G303:G354" si="59">E303-E302</f>
        <v>115</v>
      </c>
      <c r="H303">
        <v>2</v>
      </c>
      <c r="I303">
        <v>1</v>
      </c>
      <c r="J303">
        <v>4</v>
      </c>
      <c r="K303">
        <v>3</v>
      </c>
      <c r="L303">
        <v>1</v>
      </c>
      <c r="M303">
        <v>0</v>
      </c>
      <c r="N303">
        <v>0</v>
      </c>
      <c r="O303">
        <v>0</v>
      </c>
      <c r="P303" t="str">
        <f ca="1" t="shared" si="56"/>
        <v>55790 1 0 0 0</v>
      </c>
    </row>
    <row r="304" spans="1:22">
      <c r="D304">
        <f ca="1" t="shared" si="57"/>
        <v>56133</v>
      </c>
      <c r="E304">
        <f ca="1" t="shared" si="58"/>
        <v>55905</v>
      </c>
      <c r="G304">
        <f ca="1" t="shared" si="59"/>
        <v>115</v>
      </c>
      <c r="H304">
        <v>3</v>
      </c>
      <c r="I304">
        <v>4</v>
      </c>
      <c r="J304">
        <v>1</v>
      </c>
      <c r="K304">
        <v>2</v>
      </c>
      <c r="L304">
        <v>1</v>
      </c>
      <c r="M304">
        <v>0</v>
      </c>
      <c r="N304">
        <v>0</v>
      </c>
      <c r="O304">
        <v>0</v>
      </c>
      <c r="P304" t="str">
        <f ca="1" t="shared" si="56"/>
        <v>55905 1 0 0 0</v>
      </c>
    </row>
    <row r="305" spans="4:22">
      <c r="D305">
        <f ca="1" t="shared" si="57"/>
        <v>56363</v>
      </c>
      <c r="E305">
        <f ca="1" t="shared" si="58"/>
        <v>56020</v>
      </c>
      <c r="G305">
        <f ca="1" t="shared" si="59"/>
        <v>115</v>
      </c>
      <c r="H305">
        <v>1</v>
      </c>
      <c r="I305">
        <v>4</v>
      </c>
      <c r="J305">
        <v>3</v>
      </c>
      <c r="K305">
        <v>2</v>
      </c>
      <c r="L305">
        <v>1</v>
      </c>
      <c r="M305">
        <v>0</v>
      </c>
      <c r="N305">
        <v>0</v>
      </c>
      <c r="O305">
        <v>0</v>
      </c>
      <c r="P305" t="str">
        <f ca="1" t="shared" si="56"/>
        <v>56020 1 0 0 0</v>
      </c>
      <c r="V305" t="s">
        <v>86</v>
      </c>
    </row>
    <row r="306" spans="4:22">
      <c r="D306">
        <f ca="1" t="shared" si="57"/>
        <v>56479</v>
      </c>
      <c r="E306">
        <f ca="1" t="shared" si="58"/>
        <v>56135</v>
      </c>
      <c r="G306">
        <f ca="1" t="shared" si="59"/>
        <v>115</v>
      </c>
      <c r="H306">
        <v>2</v>
      </c>
      <c r="I306">
        <v>3</v>
      </c>
      <c r="J306">
        <v>4</v>
      </c>
      <c r="K306">
        <v>1</v>
      </c>
      <c r="L306">
        <v>1</v>
      </c>
      <c r="M306">
        <v>0</v>
      </c>
      <c r="N306">
        <v>0</v>
      </c>
      <c r="O306">
        <v>0</v>
      </c>
      <c r="P306" t="str">
        <f ca="1" t="shared" si="56"/>
        <v>56135 1 0 0 0</v>
      </c>
    </row>
    <row r="307" spans="4:22">
      <c r="D307">
        <f ca="1" t="shared" si="57"/>
        <v>56710</v>
      </c>
      <c r="E307">
        <f ca="1" t="shared" si="58"/>
        <v>56250</v>
      </c>
      <c r="G307">
        <f ca="1" t="shared" si="59"/>
        <v>115</v>
      </c>
      <c r="H307">
        <v>1</v>
      </c>
      <c r="I307">
        <v>3</v>
      </c>
      <c r="J307">
        <v>2</v>
      </c>
      <c r="K307">
        <v>4</v>
      </c>
      <c r="L307">
        <v>1</v>
      </c>
      <c r="M307">
        <v>0</v>
      </c>
      <c r="N307">
        <v>0</v>
      </c>
      <c r="O307">
        <v>0</v>
      </c>
      <c r="P307" t="str">
        <f ca="1" t="shared" si="56"/>
        <v>56250 1 0 0 0</v>
      </c>
    </row>
    <row r="308" spans="4:22">
      <c r="D308">
        <f ca="1" t="shared" si="57"/>
        <v>56825</v>
      </c>
      <c r="E308">
        <f ca="1" t="shared" si="58"/>
        <v>56365</v>
      </c>
      <c r="G308">
        <f ca="1" t="shared" si="59"/>
        <v>115</v>
      </c>
      <c r="H308">
        <v>4</v>
      </c>
      <c r="I308">
        <v>2</v>
      </c>
      <c r="J308">
        <v>3</v>
      </c>
      <c r="K308">
        <v>1</v>
      </c>
      <c r="L308">
        <v>1</v>
      </c>
      <c r="M308">
        <v>0</v>
      </c>
      <c r="N308">
        <v>0</v>
      </c>
      <c r="O308">
        <v>0</v>
      </c>
      <c r="P308" t="str">
        <f ca="1" t="shared" si="56"/>
        <v>56365 1 0 0 0</v>
      </c>
    </row>
    <row r="309" spans="4:22">
      <c r="D309">
        <f ca="1" t="shared" si="57"/>
        <v>57056</v>
      </c>
      <c r="E309">
        <f ca="1" t="shared" si="58"/>
        <v>56480</v>
      </c>
      <c r="G309">
        <f ca="1" t="shared" si="59"/>
        <v>115</v>
      </c>
      <c r="H309">
        <v>1</v>
      </c>
      <c r="I309">
        <v>2</v>
      </c>
      <c r="J309">
        <v>3</v>
      </c>
      <c r="K309">
        <v>4</v>
      </c>
      <c r="L309">
        <v>1</v>
      </c>
      <c r="M309">
        <v>0</v>
      </c>
      <c r="N309">
        <v>0</v>
      </c>
      <c r="O309">
        <v>0</v>
      </c>
      <c r="P309" t="str">
        <f ca="1" t="shared" si="56"/>
        <v>56480 1 0 0 0</v>
      </c>
      <c r="V309" t="s">
        <v>87</v>
      </c>
    </row>
    <row r="310" spans="4:22">
      <c r="D310">
        <f ca="1" t="shared" si="57"/>
        <v>57171</v>
      </c>
      <c r="E310">
        <f ca="1" t="shared" si="58"/>
        <v>56595</v>
      </c>
      <c r="G310">
        <f ca="1" t="shared" si="59"/>
        <v>115</v>
      </c>
      <c r="H310">
        <v>4</v>
      </c>
      <c r="I310">
        <v>3</v>
      </c>
      <c r="J310">
        <v>2</v>
      </c>
      <c r="K310">
        <v>1</v>
      </c>
      <c r="L310">
        <v>1</v>
      </c>
      <c r="M310">
        <v>0</v>
      </c>
      <c r="N310">
        <v>0</v>
      </c>
      <c r="O310">
        <v>0</v>
      </c>
      <c r="P310" t="str">
        <f ca="1" t="shared" si="56"/>
        <v>56595 1 0 0 0</v>
      </c>
    </row>
    <row r="311" spans="4:22">
      <c r="D311">
        <f ca="1" t="shared" si="57"/>
        <v>57402</v>
      </c>
      <c r="E311">
        <f ca="1" t="shared" si="58"/>
        <v>56710</v>
      </c>
      <c r="G311">
        <f ca="1" t="shared" si="59"/>
        <v>115</v>
      </c>
      <c r="H311">
        <v>3</v>
      </c>
      <c r="I311">
        <v>2</v>
      </c>
      <c r="J311">
        <v>4</v>
      </c>
      <c r="K311">
        <v>1</v>
      </c>
      <c r="L311">
        <v>1</v>
      </c>
      <c r="M311">
        <v>0</v>
      </c>
      <c r="N311">
        <v>0</v>
      </c>
      <c r="O311">
        <v>0</v>
      </c>
      <c r="P311" t="str">
        <f ca="1" t="shared" si="56"/>
        <v>56710 1 0 0 0</v>
      </c>
    </row>
    <row r="312" spans="4:22">
      <c r="D312">
        <f ca="1" t="shared" si="57"/>
        <v>57633</v>
      </c>
      <c r="E312">
        <f ca="1" t="shared" si="58"/>
        <v>56825</v>
      </c>
      <c r="G312">
        <f ca="1" t="shared" si="59"/>
        <v>115</v>
      </c>
      <c r="H312">
        <v>1</v>
      </c>
      <c r="I312">
        <v>3</v>
      </c>
      <c r="J312">
        <v>2</v>
      </c>
      <c r="K312">
        <v>4</v>
      </c>
      <c r="L312">
        <v>1</v>
      </c>
      <c r="M312">
        <v>0</v>
      </c>
      <c r="N312">
        <v>0</v>
      </c>
      <c r="O312">
        <v>0</v>
      </c>
      <c r="P312" t="str">
        <f ca="1" t="shared" si="56"/>
        <v>56825 1 0 0 0</v>
      </c>
    </row>
    <row r="313" spans="4:22">
      <c r="D313">
        <f ca="1" t="shared" si="57"/>
        <v>57864</v>
      </c>
      <c r="E313">
        <f ca="1" t="shared" si="58"/>
        <v>56940</v>
      </c>
      <c r="G313">
        <f ca="1" t="shared" si="59"/>
        <v>115</v>
      </c>
      <c r="H313">
        <v>3</v>
      </c>
      <c r="I313">
        <v>4</v>
      </c>
      <c r="J313">
        <v>1</v>
      </c>
      <c r="K313">
        <v>2</v>
      </c>
      <c r="L313">
        <v>1</v>
      </c>
      <c r="M313">
        <v>0</v>
      </c>
      <c r="N313">
        <v>0</v>
      </c>
      <c r="O313">
        <v>0</v>
      </c>
      <c r="P313" t="str">
        <f ca="1" t="shared" si="56"/>
        <v>56940 1 0 0 0</v>
      </c>
      <c r="V313" t="s">
        <v>88</v>
      </c>
    </row>
    <row r="314" spans="4:22">
      <c r="D314">
        <f ca="1" t="shared" si="57"/>
        <v>57979</v>
      </c>
      <c r="E314">
        <f ca="1" t="shared" si="58"/>
        <v>57055</v>
      </c>
      <c r="G314">
        <f ca="1" t="shared" si="59"/>
        <v>115</v>
      </c>
      <c r="H314">
        <v>2</v>
      </c>
      <c r="I314">
        <v>1</v>
      </c>
      <c r="J314">
        <v>4</v>
      </c>
      <c r="K314">
        <v>3</v>
      </c>
      <c r="L314">
        <v>1</v>
      </c>
      <c r="M314">
        <v>0</v>
      </c>
      <c r="N314">
        <v>0</v>
      </c>
      <c r="O314">
        <v>0</v>
      </c>
      <c r="P314" t="str">
        <f ca="1" t="shared" si="56"/>
        <v>57055 1 0 0 0</v>
      </c>
    </row>
    <row r="315" spans="4:22">
      <c r="D315">
        <f ca="1" t="shared" si="57"/>
        <v>58210</v>
      </c>
      <c r="E315">
        <f ca="1" t="shared" si="58"/>
        <v>57170</v>
      </c>
      <c r="G315">
        <f ca="1" t="shared" si="59"/>
        <v>115</v>
      </c>
      <c r="H315">
        <v>2</v>
      </c>
      <c r="I315">
        <v>3</v>
      </c>
      <c r="J315">
        <v>4</v>
      </c>
      <c r="K315">
        <v>1</v>
      </c>
      <c r="L315">
        <v>1</v>
      </c>
      <c r="M315">
        <v>0</v>
      </c>
      <c r="N315">
        <v>0</v>
      </c>
      <c r="O315">
        <v>0</v>
      </c>
      <c r="P315" t="str">
        <f ca="1" t="shared" si="56"/>
        <v>57170 1 0 0 0</v>
      </c>
    </row>
    <row r="316" spans="4:22">
      <c r="D316">
        <f ca="1" t="shared" si="57"/>
        <v>58325</v>
      </c>
      <c r="E316">
        <f ca="1" t="shared" si="58"/>
        <v>57285</v>
      </c>
      <c r="G316">
        <f ca="1" t="shared" si="59"/>
        <v>115</v>
      </c>
      <c r="H316">
        <v>1</v>
      </c>
      <c r="I316">
        <v>4</v>
      </c>
      <c r="J316">
        <v>3</v>
      </c>
      <c r="K316">
        <v>2</v>
      </c>
      <c r="L316">
        <v>1</v>
      </c>
      <c r="M316">
        <v>0</v>
      </c>
      <c r="N316">
        <v>0</v>
      </c>
      <c r="O316">
        <v>0</v>
      </c>
      <c r="P316" t="str">
        <f ca="1" t="shared" si="56"/>
        <v>57285 1 0 0 0</v>
      </c>
    </row>
    <row r="317" spans="4:22">
      <c r="D317">
        <f ca="1" t="shared" si="57"/>
        <v>58556</v>
      </c>
      <c r="E317">
        <f ca="1" t="shared" si="58"/>
        <v>57400</v>
      </c>
      <c r="G317">
        <f ca="1" t="shared" si="59"/>
        <v>115</v>
      </c>
      <c r="H317">
        <v>4</v>
      </c>
      <c r="I317">
        <v>2</v>
      </c>
      <c r="J317">
        <v>3</v>
      </c>
      <c r="K317">
        <v>1</v>
      </c>
      <c r="L317">
        <v>1</v>
      </c>
      <c r="M317">
        <v>0</v>
      </c>
      <c r="N317">
        <v>0</v>
      </c>
      <c r="O317">
        <v>0</v>
      </c>
      <c r="P317" t="str">
        <f ca="1" t="shared" si="56"/>
        <v>57400 1 0 0 0</v>
      </c>
      <c r="V317" t="s">
        <v>89</v>
      </c>
    </row>
    <row r="318" spans="4:22">
      <c r="D318">
        <f ca="1" t="shared" si="57"/>
        <v>58671</v>
      </c>
      <c r="E318">
        <f ca="1" t="shared" si="58"/>
        <v>57515</v>
      </c>
      <c r="G318">
        <f ca="1" t="shared" si="59"/>
        <v>115</v>
      </c>
      <c r="H318">
        <v>1</v>
      </c>
      <c r="I318">
        <v>3</v>
      </c>
      <c r="J318">
        <v>2</v>
      </c>
      <c r="K318">
        <v>4</v>
      </c>
      <c r="L318">
        <v>1</v>
      </c>
      <c r="M318">
        <v>0</v>
      </c>
      <c r="N318">
        <v>0</v>
      </c>
      <c r="O318">
        <v>0</v>
      </c>
      <c r="P318" t="str">
        <f ca="1" t="shared" si="56"/>
        <v>57515 1 0 0 0</v>
      </c>
    </row>
    <row r="319" spans="4:22">
      <c r="D319">
        <f ca="1" t="shared" si="57"/>
        <v>58902</v>
      </c>
      <c r="E319">
        <f ca="1" t="shared" si="58"/>
        <v>57630</v>
      </c>
      <c r="G319">
        <f ca="1" t="shared" si="59"/>
        <v>115</v>
      </c>
      <c r="H319">
        <v>4</v>
      </c>
      <c r="I319">
        <v>3</v>
      </c>
      <c r="J319">
        <v>2</v>
      </c>
      <c r="K319">
        <v>1</v>
      </c>
      <c r="L319">
        <v>1</v>
      </c>
      <c r="M319">
        <v>0</v>
      </c>
      <c r="N319">
        <v>0</v>
      </c>
      <c r="O319">
        <v>0</v>
      </c>
      <c r="P319" t="str">
        <f ca="1" t="shared" si="56"/>
        <v>57630 1 0 0 0</v>
      </c>
    </row>
    <row r="320" spans="4:22">
      <c r="D320">
        <f ca="1" t="shared" si="57"/>
        <v>59017</v>
      </c>
      <c r="E320">
        <f ca="1" t="shared" si="58"/>
        <v>57745</v>
      </c>
      <c r="G320">
        <f ca="1" t="shared" si="59"/>
        <v>115</v>
      </c>
      <c r="H320">
        <v>1</v>
      </c>
      <c r="I320">
        <v>2</v>
      </c>
      <c r="J320">
        <v>3</v>
      </c>
      <c r="K320">
        <v>4</v>
      </c>
      <c r="L320">
        <v>1</v>
      </c>
      <c r="M320">
        <v>0</v>
      </c>
      <c r="N320">
        <v>0</v>
      </c>
      <c r="O320">
        <v>0</v>
      </c>
      <c r="P320" t="str">
        <f ca="1" t="shared" si="56"/>
        <v>57745 1 0 0 0</v>
      </c>
    </row>
    <row r="321" spans="1:22">
      <c r="E321">
        <f ca="1" t="shared" si="58"/>
        <v>57860</v>
      </c>
      <c r="G321">
        <f ca="1" t="shared" si="59"/>
        <v>115</v>
      </c>
      <c r="L321">
        <v>1</v>
      </c>
      <c r="M321">
        <v>0</v>
      </c>
      <c r="N321">
        <v>0</v>
      </c>
      <c r="O321">
        <v>0</v>
      </c>
      <c r="P321" t="str">
        <f ca="1" t="shared" si="56"/>
        <v>57860 1 0 0 0</v>
      </c>
      <c r="V321" t="s">
        <v>90</v>
      </c>
    </row>
    <row r="322" spans="1:22">
      <c r="E322">
        <f ca="1" t="shared" si="58"/>
        <v>57975</v>
      </c>
      <c r="G322">
        <f ca="1" t="shared" si="59"/>
        <v>115</v>
      </c>
      <c r="L322">
        <v>1</v>
      </c>
      <c r="M322">
        <v>0</v>
      </c>
      <c r="N322">
        <v>0</v>
      </c>
      <c r="O322">
        <v>0</v>
      </c>
      <c r="P322" t="str">
        <f ca="1" t="shared" si="56"/>
        <v>57975 1 0 0 0</v>
      </c>
    </row>
    <row r="323" spans="1:22">
      <c r="E323">
        <f ca="1" t="shared" si="58"/>
        <v>58090</v>
      </c>
      <c r="G323">
        <f ca="1" t="shared" si="59"/>
        <v>115</v>
      </c>
      <c r="L323">
        <v>1</v>
      </c>
      <c r="M323">
        <v>0</v>
      </c>
      <c r="N323">
        <v>0</v>
      </c>
      <c r="O323">
        <v>0</v>
      </c>
      <c r="P323" t="str">
        <f ca="1" t="shared" si="56"/>
        <v>58090 1 0 0 0</v>
      </c>
    </row>
    <row r="324" spans="1:22">
      <c r="E324">
        <f ca="1" t="shared" si="58"/>
        <v>58205</v>
      </c>
      <c r="G324">
        <f ca="1" t="shared" si="59"/>
        <v>115</v>
      </c>
      <c r="L324">
        <v>1</v>
      </c>
      <c r="M324">
        <v>0</v>
      </c>
      <c r="N324">
        <v>0</v>
      </c>
      <c r="O324">
        <v>0</v>
      </c>
      <c r="P324" t="str">
        <f ca="1" t="shared" si="56"/>
        <v>58205 1 0 0 0</v>
      </c>
    </row>
    <row r="325" spans="1:22">
      <c r="E325">
        <f ca="1" t="shared" si="58"/>
        <v>58320</v>
      </c>
      <c r="G325">
        <f ca="1" t="shared" si="59"/>
        <v>115</v>
      </c>
      <c r="L325">
        <v>1</v>
      </c>
      <c r="M325">
        <v>0</v>
      </c>
      <c r="N325">
        <v>0</v>
      </c>
      <c r="O325">
        <v>0</v>
      </c>
      <c r="P325" t="str">
        <f ca="1" t="shared" si="56"/>
        <v>58320 1 0 0 0</v>
      </c>
      <c r="V325" t="s">
        <v>91</v>
      </c>
    </row>
    <row r="326" spans="1:22">
      <c r="E326">
        <f ca="1" t="shared" si="58"/>
        <v>58435</v>
      </c>
      <c r="G326">
        <f ca="1" t="shared" si="59"/>
        <v>115</v>
      </c>
      <c r="L326">
        <v>1</v>
      </c>
      <c r="M326">
        <v>0</v>
      </c>
      <c r="N326">
        <v>0</v>
      </c>
      <c r="O326">
        <v>0</v>
      </c>
      <c r="P326" t="str">
        <f ca="1" t="shared" si="56"/>
        <v>58435 1 0 0 0</v>
      </c>
    </row>
    <row r="327" spans="1:22">
      <c r="E327">
        <f ca="1" t="shared" si="58"/>
        <v>58550</v>
      </c>
      <c r="G327">
        <f ca="1" t="shared" si="59"/>
        <v>115</v>
      </c>
      <c r="L327">
        <v>1</v>
      </c>
      <c r="M327">
        <v>0</v>
      </c>
      <c r="N327">
        <v>0</v>
      </c>
      <c r="O327">
        <v>0</v>
      </c>
      <c r="P327" t="str">
        <f ca="1" t="shared" si="56"/>
        <v>58550 1 0 0 0</v>
      </c>
    </row>
    <row r="328" spans="1:22">
      <c r="E328">
        <f ca="1" t="shared" si="58"/>
        <v>58665</v>
      </c>
      <c r="G328">
        <f ca="1" t="shared" si="59"/>
        <v>115</v>
      </c>
      <c r="L328">
        <v>1</v>
      </c>
      <c r="M328">
        <v>0</v>
      </c>
      <c r="N328">
        <v>0</v>
      </c>
      <c r="O328">
        <v>0</v>
      </c>
      <c r="P328" t="str">
        <f ca="1" t="shared" si="56"/>
        <v>58665 1 0 0 0</v>
      </c>
    </row>
    <row r="329" spans="1:22">
      <c r="E329">
        <f ca="1" t="shared" si="58"/>
        <v>58780</v>
      </c>
      <c r="G329">
        <f ca="1" t="shared" si="59"/>
        <v>115</v>
      </c>
      <c r="L329">
        <v>1</v>
      </c>
      <c r="M329">
        <v>0</v>
      </c>
      <c r="N329">
        <v>0</v>
      </c>
      <c r="O329">
        <v>0</v>
      </c>
      <c r="P329" t="str">
        <f ca="1" t="shared" si="56"/>
        <v>58780 1 0 0 0</v>
      </c>
      <c r="V329" t="s">
        <v>92</v>
      </c>
    </row>
    <row r="330" spans="1:22">
      <c r="E330">
        <f ca="1" t="shared" si="58"/>
        <v>58895</v>
      </c>
      <c r="G330">
        <f ca="1" t="shared" si="59"/>
        <v>115</v>
      </c>
      <c r="L330">
        <v>1</v>
      </c>
      <c r="M330">
        <v>0</v>
      </c>
      <c r="N330">
        <v>0</v>
      </c>
      <c r="O330">
        <v>0</v>
      </c>
      <c r="P330" t="str">
        <f ca="1" t="shared" si="56"/>
        <v>58895 1 0 0 0</v>
      </c>
    </row>
    <row r="331" spans="1:22">
      <c r="E331">
        <f ca="1" t="shared" si="58"/>
        <v>59010</v>
      </c>
      <c r="G331">
        <f ca="1" t="shared" si="59"/>
        <v>115</v>
      </c>
      <c r="L331">
        <v>1</v>
      </c>
      <c r="M331">
        <v>0</v>
      </c>
      <c r="N331">
        <v>0</v>
      </c>
      <c r="O331">
        <v>0</v>
      </c>
      <c r="P331" t="str">
        <f ca="1" t="shared" si="56"/>
        <v>59010 1 0 0 0</v>
      </c>
    </row>
    <row r="332" spans="1:22">
      <c r="E332">
        <f ca="1" t="shared" si="58"/>
        <v>59125</v>
      </c>
      <c r="G332">
        <f ca="1" t="shared" si="59"/>
        <v>115</v>
      </c>
      <c r="L332">
        <v>1</v>
      </c>
      <c r="M332">
        <v>0</v>
      </c>
      <c r="N332">
        <v>0</v>
      </c>
      <c r="O332">
        <v>0</v>
      </c>
      <c r="P332" t="str">
        <f ca="1" t="shared" si="56"/>
        <v>59125 1 0 0 0</v>
      </c>
    </row>
    <row r="333" spans="1:22">
      <c r="C333">
        <v>7098</v>
      </c>
      <c r="E333">
        <f ca="1" t="shared" si="58"/>
        <v>59240</v>
      </c>
      <c r="G333">
        <f ca="1" t="shared" si="59"/>
        <v>115</v>
      </c>
      <c r="L333">
        <v>1</v>
      </c>
      <c r="M333">
        <v>0</v>
      </c>
      <c r="N333">
        <v>0</v>
      </c>
      <c r="O333">
        <v>1</v>
      </c>
      <c r="P333" t="str">
        <f ca="1" t="shared" si="56"/>
        <v>59240 1 0 0 1</v>
      </c>
      <c r="V333" t="s">
        <v>93</v>
      </c>
    </row>
    <row r="334" spans="1:22">
      <c r="A334" t="s">
        <v>94</v>
      </c>
      <c r="C334">
        <v>7121</v>
      </c>
      <c r="D334">
        <v>61097</v>
      </c>
      <c r="E334" cm="1">
        <f t="array" ref="E334">INDEX(C:C,MATCH(MIN(ABS(C:C-D334)),ABS(C:C-D334),0))</f>
        <v>61098</v>
      </c>
      <c r="G334">
        <f ca="1" t="shared" si="59"/>
        <v>1858</v>
      </c>
      <c r="L334">
        <v>0</v>
      </c>
      <c r="M334">
        <v>0</v>
      </c>
      <c r="N334">
        <v>0</v>
      </c>
      <c r="O334">
        <v>1</v>
      </c>
      <c r="P334" t="str">
        <f t="shared" ref="P334:P352" si="60">E334&amp;" "&amp;L334&amp;" "&amp;M334&amp;" "&amp;N334&amp;" "&amp;O334</f>
        <v>61098 0 0 0 1</v>
      </c>
    </row>
    <row r="335" spans="1:22">
      <c r="C335">
        <v>7144</v>
      </c>
      <c r="D335">
        <v>61319</v>
      </c>
      <c r="E335" cm="1">
        <f t="array" ref="E335">INDEX(C:C,MATCH(MIN(ABS(C:C-D335)),ABS(C:C-D335),0))</f>
        <v>61329</v>
      </c>
      <c r="G335">
        <f t="shared" si="59"/>
        <v>231</v>
      </c>
      <c r="L335">
        <v>0</v>
      </c>
      <c r="M335">
        <v>0</v>
      </c>
      <c r="N335">
        <v>0</v>
      </c>
      <c r="O335">
        <v>1</v>
      </c>
      <c r="P335" t="str">
        <f t="shared" si="60"/>
        <v>61329 0 0 0 1</v>
      </c>
    </row>
    <row r="336" spans="1:22">
      <c r="C336">
        <v>7167</v>
      </c>
      <c r="D336">
        <v>61559</v>
      </c>
      <c r="E336" cm="1">
        <f t="array" ref="E336">INDEX(C:C,MATCH(MIN(ABS(C:C-D336)),ABS(C:C-D336),0))</f>
        <v>61560</v>
      </c>
      <c r="G336">
        <f t="shared" si="59"/>
        <v>231</v>
      </c>
      <c r="L336">
        <v>0</v>
      </c>
      <c r="M336">
        <v>0</v>
      </c>
      <c r="N336">
        <v>0</v>
      </c>
      <c r="O336">
        <v>1</v>
      </c>
      <c r="P336" t="str">
        <f t="shared" si="60"/>
        <v>61560 0 0 0 1</v>
      </c>
    </row>
    <row r="337" spans="1:22">
      <c r="C337">
        <v>7190</v>
      </c>
      <c r="D337">
        <v>61782</v>
      </c>
      <c r="E337" cm="1">
        <f t="array" ref="E337">INDEX(C:C,MATCH(MIN(ABS(C:C-D337)),ABS(C:C-D337),0))</f>
        <v>61790</v>
      </c>
      <c r="G337">
        <f t="shared" si="59"/>
        <v>230</v>
      </c>
      <c r="L337">
        <v>0</v>
      </c>
      <c r="M337">
        <v>0</v>
      </c>
      <c r="N337">
        <v>0</v>
      </c>
      <c r="O337">
        <v>1</v>
      </c>
      <c r="P337" t="str">
        <f t="shared" si="60"/>
        <v>61790 0 0 0 1</v>
      </c>
    </row>
    <row r="338" spans="1:22">
      <c r="C338">
        <v>7213</v>
      </c>
      <c r="D338">
        <v>61905</v>
      </c>
      <c r="E338" cm="1">
        <f t="array" ref="E338">INDEX(C:C,MATCH(MIN(ABS(C:C-D338)),ABS(C:C-D338),0))</f>
        <v>61906</v>
      </c>
      <c r="G338">
        <f t="shared" si="59"/>
        <v>116</v>
      </c>
      <c r="L338">
        <v>1</v>
      </c>
      <c r="M338">
        <v>0</v>
      </c>
      <c r="N338">
        <v>0</v>
      </c>
      <c r="O338">
        <v>0</v>
      </c>
      <c r="P338" t="str">
        <f t="shared" si="60"/>
        <v>61906 1 0 0 0</v>
      </c>
    </row>
    <row r="339" spans="1:22">
      <c r="C339">
        <v>7237</v>
      </c>
      <c r="D339">
        <v>62024</v>
      </c>
      <c r="E339" cm="1">
        <f t="array" ref="E339">INDEX(C:C,MATCH(MIN(ABS(C:C-D339)),ABS(C:C-D339),0))</f>
        <v>62021</v>
      </c>
      <c r="G339">
        <f t="shared" si="59"/>
        <v>115</v>
      </c>
      <c r="L339">
        <v>0</v>
      </c>
      <c r="M339">
        <v>0</v>
      </c>
      <c r="N339">
        <v>0</v>
      </c>
      <c r="O339">
        <v>1</v>
      </c>
      <c r="P339" t="str">
        <f t="shared" si="60"/>
        <v>62021 0 0 0 1</v>
      </c>
    </row>
    <row r="340" spans="1:22">
      <c r="C340">
        <v>7260</v>
      </c>
      <c r="D340">
        <v>62140</v>
      </c>
      <c r="E340" cm="1">
        <f t="array" ref="E340">INDEX(C:C,MATCH(MIN(ABS(C:C-D340)),ABS(C:C-D340),0))</f>
        <v>62137</v>
      </c>
      <c r="G340">
        <f t="shared" si="59"/>
        <v>116</v>
      </c>
      <c r="L340">
        <v>1</v>
      </c>
      <c r="M340">
        <v>0</v>
      </c>
      <c r="N340">
        <v>0</v>
      </c>
      <c r="O340">
        <v>0</v>
      </c>
      <c r="P340" t="str">
        <f t="shared" si="60"/>
        <v>62137 1 0 0 0</v>
      </c>
    </row>
    <row r="341" spans="1:22">
      <c r="C341">
        <v>7283</v>
      </c>
      <c r="D341">
        <v>62247</v>
      </c>
      <c r="E341" cm="1">
        <f t="array" ref="E341">INDEX(C:C,MATCH(MIN(ABS(C:C-D341)),ABS(C:C-D341),0))</f>
        <v>62252</v>
      </c>
      <c r="G341">
        <f t="shared" si="59"/>
        <v>115</v>
      </c>
      <c r="L341">
        <v>0</v>
      </c>
      <c r="M341">
        <v>0</v>
      </c>
      <c r="N341">
        <v>0</v>
      </c>
      <c r="O341">
        <v>1</v>
      </c>
      <c r="P341" t="str">
        <f t="shared" si="60"/>
        <v>62252 0 0 0 1</v>
      </c>
    </row>
    <row r="342" spans="1:22">
      <c r="C342">
        <v>7306</v>
      </c>
      <c r="D342">
        <v>62372</v>
      </c>
      <c r="E342" cm="1">
        <f t="array" ref="E342">INDEX(C:C,MATCH(MIN(ABS(C:C-D342)),ABS(C:C-D342),0))</f>
        <v>62367</v>
      </c>
      <c r="G342">
        <f t="shared" si="59"/>
        <v>115</v>
      </c>
      <c r="L342">
        <v>1</v>
      </c>
      <c r="M342">
        <v>0</v>
      </c>
      <c r="N342">
        <v>0</v>
      </c>
      <c r="O342">
        <v>0</v>
      </c>
      <c r="P342" t="str">
        <f t="shared" si="60"/>
        <v>62367 1 0 0 0</v>
      </c>
    </row>
    <row r="343" spans="1:22">
      <c r="C343">
        <v>7329</v>
      </c>
      <c r="D343">
        <v>62482</v>
      </c>
      <c r="E343" cm="1">
        <f t="array" ref="E343">INDEX(C:C,MATCH(MIN(ABS(C:C-D343)),ABS(C:C-D343),0))</f>
        <v>62483</v>
      </c>
      <c r="G343">
        <f t="shared" si="59"/>
        <v>116</v>
      </c>
      <c r="L343">
        <v>0</v>
      </c>
      <c r="M343">
        <v>0</v>
      </c>
      <c r="N343">
        <v>0</v>
      </c>
      <c r="O343">
        <v>1</v>
      </c>
      <c r="P343" t="str">
        <f t="shared" si="60"/>
        <v>62483 0 0 0 1</v>
      </c>
    </row>
    <row r="344" spans="1:22">
      <c r="A344" t="s">
        <v>95</v>
      </c>
      <c r="B344">
        <v>1</v>
      </c>
      <c r="C344">
        <v>7352</v>
      </c>
      <c r="D344">
        <v>62942</v>
      </c>
      <c r="E344" cm="1">
        <f t="array" ref="E344">INDEX(C:C,MATCH(MIN(ABS(C:C-D344)),ABS(C:C-D344),0))</f>
        <v>62944</v>
      </c>
      <c r="G344">
        <f t="shared" si="59"/>
        <v>461</v>
      </c>
      <c r="L344">
        <v>1</v>
      </c>
      <c r="M344">
        <v>0</v>
      </c>
      <c r="N344">
        <v>0</v>
      </c>
      <c r="O344">
        <v>0</v>
      </c>
      <c r="P344" t="str">
        <f t="shared" si="60"/>
        <v>62944 1 0 0 0</v>
      </c>
      <c r="R344">
        <v>1</v>
      </c>
      <c r="S344">
        <v>0</v>
      </c>
      <c r="T344">
        <v>0</v>
      </c>
      <c r="U344">
        <v>0</v>
      </c>
      <c r="V344" t="str">
        <f>E344&amp;" "&amp;R344&amp;" "&amp;S344&amp;" "&amp;T344&amp;" "&amp;U344</f>
        <v>62944 1 0 0 0</v>
      </c>
    </row>
    <row r="345" spans="1:22">
      <c r="B345">
        <v>2</v>
      </c>
      <c r="C345">
        <v>7375</v>
      </c>
      <c r="D345">
        <v>63178</v>
      </c>
      <c r="E345" cm="1">
        <f t="array" ref="E345">INDEX(C:C,MATCH(MIN(ABS(C:C-D345)),ABS(C:C-D345),0))</f>
        <v>63175</v>
      </c>
      <c r="G345">
        <f t="shared" si="59"/>
        <v>231</v>
      </c>
      <c r="L345">
        <v>0</v>
      </c>
      <c r="M345">
        <v>1</v>
      </c>
      <c r="N345">
        <v>0</v>
      </c>
      <c r="O345">
        <v>0</v>
      </c>
      <c r="P345" t="str">
        <f t="shared" si="60"/>
        <v>63175 0 1 0 0</v>
      </c>
      <c r="R345">
        <v>0</v>
      </c>
      <c r="S345">
        <v>1</v>
      </c>
      <c r="T345">
        <v>0</v>
      </c>
      <c r="U345">
        <v>0</v>
      </c>
      <c r="V345" t="str">
        <f t="shared" ref="V345:V376" si="61">E345&amp;" "&amp;R345&amp;" "&amp;S345&amp;" "&amp;T345&amp;" "&amp;U345</f>
        <v>63175 0 1 0 0</v>
      </c>
    </row>
    <row r="346" spans="1:22">
      <c r="B346">
        <v>3</v>
      </c>
      <c r="C346">
        <v>7398</v>
      </c>
      <c r="D346">
        <v>63291</v>
      </c>
      <c r="E346" cm="1">
        <f t="array" ref="E346">INDEX(C:C,MATCH(MIN(ABS(C:C-D346)),ABS(C:C-D346),0))</f>
        <v>63290</v>
      </c>
      <c r="G346">
        <f t="shared" si="59"/>
        <v>115</v>
      </c>
      <c r="L346">
        <v>0</v>
      </c>
      <c r="M346">
        <v>1</v>
      </c>
      <c r="N346">
        <v>0</v>
      </c>
      <c r="O346">
        <v>0</v>
      </c>
      <c r="P346" t="str">
        <f t="shared" si="60"/>
        <v>63290 0 1 0 0</v>
      </c>
      <c r="R346">
        <v>0</v>
      </c>
      <c r="S346">
        <v>1</v>
      </c>
      <c r="T346">
        <v>0</v>
      </c>
      <c r="U346">
        <v>0</v>
      </c>
    </row>
    <row r="347" spans="1:22">
      <c r="B347">
        <v>4</v>
      </c>
      <c r="C347">
        <v>7421</v>
      </c>
      <c r="D347">
        <v>63398</v>
      </c>
      <c r="E347" cm="1">
        <f t="array" ref="E347">INDEX(C:C,MATCH(MIN(ABS(C:C-D347)),ABS(C:C-D347),0))</f>
        <v>63406</v>
      </c>
      <c r="G347">
        <f t="shared" si="59"/>
        <v>116</v>
      </c>
      <c r="L347">
        <v>0</v>
      </c>
      <c r="M347">
        <v>0</v>
      </c>
      <c r="N347">
        <v>1</v>
      </c>
      <c r="O347">
        <v>0</v>
      </c>
      <c r="P347" t="str">
        <f t="shared" si="60"/>
        <v>63406 0 0 1 0</v>
      </c>
      <c r="R347">
        <v>0</v>
      </c>
      <c r="S347">
        <v>0</v>
      </c>
      <c r="T347">
        <v>1</v>
      </c>
      <c r="U347">
        <v>0</v>
      </c>
      <c r="V347" t="str">
        <f t="shared" si="61"/>
        <v>63406 0 0 1 0</v>
      </c>
    </row>
    <row r="348" spans="1:22">
      <c r="B348">
        <v>5</v>
      </c>
      <c r="C348">
        <v>7444</v>
      </c>
      <c r="D348">
        <v>63514</v>
      </c>
      <c r="E348" cm="1">
        <f t="array" ref="E348">INDEX(C:C,MATCH(MIN(ABS(C:C-D348)),ABS(C:C-D348),0))</f>
        <v>63521</v>
      </c>
      <c r="G348">
        <f t="shared" si="59"/>
        <v>115</v>
      </c>
      <c r="L348">
        <v>0</v>
      </c>
      <c r="M348">
        <v>1</v>
      </c>
      <c r="N348">
        <v>0</v>
      </c>
      <c r="O348">
        <v>0</v>
      </c>
      <c r="P348" t="str">
        <f t="shared" si="60"/>
        <v>63521 0 1 0 0</v>
      </c>
      <c r="R348">
        <v>0</v>
      </c>
      <c r="S348">
        <v>1</v>
      </c>
      <c r="T348">
        <v>0</v>
      </c>
      <c r="U348">
        <v>0</v>
      </c>
      <c r="V348" t="str">
        <f t="shared" si="61"/>
        <v>63521 0 1 0 0</v>
      </c>
    </row>
    <row r="349" spans="1:22">
      <c r="B349">
        <v>6</v>
      </c>
      <c r="C349">
        <v>7467</v>
      </c>
      <c r="D349">
        <v>63629</v>
      </c>
      <c r="E349" cm="1">
        <f t="array" ref="E349">INDEX(C:C,MATCH(MIN(ABS(C:C-D349)),ABS(C:C-D349),0))</f>
        <v>63637</v>
      </c>
      <c r="G349">
        <f t="shared" si="59"/>
        <v>116</v>
      </c>
      <c r="L349">
        <v>0</v>
      </c>
      <c r="M349">
        <v>1</v>
      </c>
      <c r="N349">
        <v>0</v>
      </c>
      <c r="O349">
        <v>0</v>
      </c>
      <c r="P349" t="str">
        <f t="shared" si="60"/>
        <v>63637 0 1 0 0</v>
      </c>
      <c r="R349">
        <v>0</v>
      </c>
      <c r="S349">
        <v>1</v>
      </c>
      <c r="T349">
        <v>0</v>
      </c>
      <c r="U349">
        <v>0</v>
      </c>
    </row>
    <row r="350" spans="1:22">
      <c r="B350">
        <v>7</v>
      </c>
      <c r="C350">
        <v>7490</v>
      </c>
      <c r="D350">
        <v>63860</v>
      </c>
      <c r="E350" cm="1">
        <f t="array" ref="E350">INDEX(C:C,MATCH(MIN(ABS(C:C-D350)),ABS(C:C-D350),0))</f>
        <v>63867</v>
      </c>
      <c r="G350">
        <f t="shared" si="59"/>
        <v>230</v>
      </c>
      <c r="L350">
        <v>0</v>
      </c>
      <c r="M350">
        <v>0</v>
      </c>
      <c r="N350">
        <v>1</v>
      </c>
      <c r="O350">
        <v>0</v>
      </c>
      <c r="P350" t="str">
        <f t="shared" si="60"/>
        <v>63867 0 0 1 0</v>
      </c>
      <c r="R350">
        <v>0</v>
      </c>
      <c r="S350">
        <v>0</v>
      </c>
      <c r="T350">
        <v>1</v>
      </c>
      <c r="U350">
        <v>0</v>
      </c>
      <c r="V350" t="str">
        <f t="shared" si="61"/>
        <v>63867 0 0 1 0</v>
      </c>
    </row>
    <row r="351" spans="1:22">
      <c r="B351">
        <v>8</v>
      </c>
      <c r="C351">
        <v>7513</v>
      </c>
      <c r="D351">
        <v>63977</v>
      </c>
      <c r="E351" cm="1">
        <f t="array" ref="E351">INDEX(C:C,MATCH(MIN(ABS(C:C-D351)),ABS(C:C-D351),0))</f>
        <v>63983</v>
      </c>
      <c r="G351">
        <f t="shared" si="59"/>
        <v>116</v>
      </c>
      <c r="L351">
        <v>0</v>
      </c>
      <c r="M351">
        <v>1</v>
      </c>
      <c r="N351">
        <v>0</v>
      </c>
      <c r="O351">
        <v>0</v>
      </c>
      <c r="P351" t="str">
        <f t="shared" si="60"/>
        <v>63983 0 1 0 0</v>
      </c>
      <c r="R351">
        <v>0</v>
      </c>
      <c r="S351">
        <v>1</v>
      </c>
      <c r="T351">
        <v>0</v>
      </c>
      <c r="U351">
        <v>0</v>
      </c>
      <c r="V351" t="str">
        <f t="shared" si="61"/>
        <v>63983 0 1 0 0</v>
      </c>
    </row>
    <row r="352" spans="1:22">
      <c r="B352">
        <v>9</v>
      </c>
      <c r="C352">
        <v>7537</v>
      </c>
      <c r="D352">
        <v>64206</v>
      </c>
      <c r="E352" cm="1">
        <f t="array" ref="E352">INDEX(C:C,MATCH(MIN(ABS(C:C-D352)),ABS(C:C-D352),0))</f>
        <v>64213</v>
      </c>
      <c r="G352">
        <f t="shared" si="59"/>
        <v>230</v>
      </c>
      <c r="L352">
        <v>0</v>
      </c>
      <c r="M352">
        <v>0</v>
      </c>
      <c r="N352">
        <v>1</v>
      </c>
      <c r="O352">
        <v>0</v>
      </c>
      <c r="P352" t="str">
        <f t="shared" si="60"/>
        <v>64213 0 0 1 0</v>
      </c>
      <c r="R352">
        <v>0</v>
      </c>
      <c r="S352">
        <v>0</v>
      </c>
      <c r="T352">
        <v>1</v>
      </c>
      <c r="U352">
        <v>0</v>
      </c>
      <c r="V352" t="str">
        <f t="shared" si="61"/>
        <v>64213 0 0 1 0</v>
      </c>
    </row>
    <row r="353" spans="2:22">
      <c r="B353">
        <v>10</v>
      </c>
      <c r="C353">
        <v>7560</v>
      </c>
      <c r="D353">
        <v>64324</v>
      </c>
      <c r="E353" cm="1">
        <f t="array" ref="E353">INDEX(C:C,MATCH(MIN(ABS(C:C-D353)),ABS(C:C-D353),0))</f>
        <v>64329</v>
      </c>
      <c r="G353">
        <f t="shared" si="59"/>
        <v>116</v>
      </c>
      <c r="L353">
        <v>0</v>
      </c>
      <c r="M353">
        <v>1</v>
      </c>
      <c r="N353">
        <v>0</v>
      </c>
      <c r="O353">
        <v>0</v>
      </c>
      <c r="P353" t="str">
        <f t="shared" ref="P353:P384" si="62">E353&amp;" "&amp;L353&amp;" "&amp;M353&amp;" "&amp;N353&amp;" "&amp;O353</f>
        <v>64329 0 1 0 0</v>
      </c>
      <c r="R353">
        <v>0</v>
      </c>
      <c r="S353">
        <v>1</v>
      </c>
      <c r="T353">
        <v>0</v>
      </c>
      <c r="U353">
        <v>0</v>
      </c>
      <c r="V353" t="str">
        <f t="shared" si="61"/>
        <v>64329 0 1 0 0</v>
      </c>
    </row>
    <row r="354" spans="2:22">
      <c r="B354">
        <v>11</v>
      </c>
      <c r="C354">
        <v>7583</v>
      </c>
      <c r="D354">
        <v>64561</v>
      </c>
      <c r="E354" cm="1">
        <f t="array" ref="E354">INDEX(C:C,MATCH(MIN(ABS(C:C-D354)),ABS(C:C-D354),0))</f>
        <v>64560</v>
      </c>
      <c r="G354">
        <f t="shared" si="59"/>
        <v>231</v>
      </c>
      <c r="L354">
        <v>0</v>
      </c>
      <c r="M354">
        <v>0</v>
      </c>
      <c r="N354">
        <v>0</v>
      </c>
      <c r="O354">
        <v>1</v>
      </c>
      <c r="P354" t="str">
        <f t="shared" si="62"/>
        <v>64560 0 0 0 1</v>
      </c>
      <c r="R354">
        <v>0</v>
      </c>
      <c r="S354">
        <v>0</v>
      </c>
      <c r="T354">
        <v>0</v>
      </c>
      <c r="U354">
        <v>1</v>
      </c>
      <c r="V354" t="str">
        <f t="shared" si="61"/>
        <v>64560 0 0 0 1</v>
      </c>
    </row>
    <row r="355" spans="2:22">
      <c r="C355">
        <v>7606</v>
      </c>
      <c r="D355">
        <f>ROUND(D344+6000/26*8,0)</f>
        <v>64788</v>
      </c>
      <c r="E355" cm="1">
        <f t="array" ref="E355">INDEX(C:C,MATCH(MIN(ABS(C:C-D355)),ABS(C:C-D355),0))</f>
        <v>64790</v>
      </c>
      <c r="G355">
        <f t="shared" ref="G355:G360" si="63">E355-E354</f>
        <v>230</v>
      </c>
      <c r="L355">
        <v>1</v>
      </c>
      <c r="M355">
        <v>0</v>
      </c>
      <c r="N355">
        <v>0</v>
      </c>
      <c r="O355">
        <v>1</v>
      </c>
      <c r="P355" t="str">
        <f t="shared" si="62"/>
        <v>64790 1 0 0 1</v>
      </c>
      <c r="R355">
        <v>1</v>
      </c>
      <c r="S355">
        <v>0</v>
      </c>
      <c r="T355">
        <v>0</v>
      </c>
      <c r="U355">
        <v>1</v>
      </c>
      <c r="V355" t="str">
        <f t="shared" si="61"/>
        <v>64790 1 0 0 1</v>
      </c>
    </row>
    <row r="356" spans="2:22">
      <c r="C356">
        <v>7629</v>
      </c>
      <c r="D356">
        <f t="shared" ref="D356:D365" si="64">ROUND(D345+6000/26*8,0)</f>
        <v>65024</v>
      </c>
      <c r="E356" cm="1">
        <f t="array" ref="E356">INDEX(C:C,MATCH(MIN(ABS(C:C-D356)),ABS(C:C-D356),0))</f>
        <v>65021</v>
      </c>
      <c r="G356">
        <f t="shared" si="63"/>
        <v>231</v>
      </c>
      <c r="L356">
        <v>0</v>
      </c>
      <c r="M356">
        <v>0</v>
      </c>
      <c r="N356">
        <v>1</v>
      </c>
      <c r="O356">
        <v>0</v>
      </c>
      <c r="P356" t="str">
        <f t="shared" si="62"/>
        <v>65021 0 0 1 0</v>
      </c>
      <c r="R356">
        <v>0</v>
      </c>
      <c r="S356">
        <v>0</v>
      </c>
      <c r="T356">
        <v>1</v>
      </c>
      <c r="U356">
        <v>0</v>
      </c>
      <c r="V356" t="str">
        <f t="shared" si="61"/>
        <v>65021 0 0 1 0</v>
      </c>
    </row>
    <row r="357" spans="2:22">
      <c r="C357">
        <v>7652</v>
      </c>
      <c r="D357">
        <f t="shared" si="64"/>
        <v>65137</v>
      </c>
      <c r="E357" cm="1">
        <f t="array" ref="E357">INDEX(C:C,MATCH(MIN(ABS(C:C-D357)),ABS(C:C-D357),0))</f>
        <v>65137</v>
      </c>
      <c r="G357">
        <f t="shared" si="63"/>
        <v>116</v>
      </c>
      <c r="L357">
        <v>0</v>
      </c>
      <c r="M357">
        <v>0</v>
      </c>
      <c r="N357">
        <v>1</v>
      </c>
      <c r="O357">
        <v>0</v>
      </c>
      <c r="P357" t="str">
        <f t="shared" si="62"/>
        <v>65137 0 0 1 0</v>
      </c>
      <c r="R357">
        <v>0</v>
      </c>
      <c r="S357">
        <v>0</v>
      </c>
      <c r="T357">
        <v>1</v>
      </c>
      <c r="U357">
        <v>0</v>
      </c>
    </row>
    <row r="358" spans="2:22">
      <c r="C358">
        <v>7675</v>
      </c>
      <c r="D358">
        <f t="shared" si="64"/>
        <v>65244</v>
      </c>
      <c r="E358" cm="1">
        <f t="array" ref="E358">INDEX(C:C,MATCH(MIN(ABS(C:C-D358)),ABS(C:C-D358),0))</f>
        <v>65252</v>
      </c>
      <c r="G358">
        <f t="shared" si="63"/>
        <v>115</v>
      </c>
      <c r="L358">
        <v>0</v>
      </c>
      <c r="M358">
        <v>1</v>
      </c>
      <c r="N358">
        <v>0</v>
      </c>
      <c r="O358">
        <v>0</v>
      </c>
      <c r="P358" t="str">
        <f t="shared" si="62"/>
        <v>65252 0 1 0 0</v>
      </c>
      <c r="R358">
        <v>0</v>
      </c>
      <c r="S358">
        <v>1</v>
      </c>
      <c r="T358">
        <v>0</v>
      </c>
      <c r="U358">
        <v>0</v>
      </c>
      <c r="V358" t="str">
        <f t="shared" si="61"/>
        <v>65252 0 1 0 0</v>
      </c>
    </row>
    <row r="359" spans="2:22">
      <c r="C359">
        <v>7698</v>
      </c>
      <c r="D359">
        <f t="shared" si="64"/>
        <v>65360</v>
      </c>
      <c r="E359" cm="1">
        <f t="array" ref="E359">INDEX(C:C,MATCH(MIN(ABS(C:C-D359)),ABS(C:C-D359),0))</f>
        <v>65367</v>
      </c>
      <c r="G359">
        <f t="shared" si="63"/>
        <v>115</v>
      </c>
      <c r="L359">
        <v>0</v>
      </c>
      <c r="M359">
        <v>0</v>
      </c>
      <c r="N359">
        <v>1</v>
      </c>
      <c r="O359">
        <v>0</v>
      </c>
      <c r="P359" t="str">
        <f t="shared" si="62"/>
        <v>65367 0 0 1 0</v>
      </c>
      <c r="R359">
        <v>0</v>
      </c>
      <c r="S359">
        <v>0</v>
      </c>
      <c r="T359">
        <v>1</v>
      </c>
      <c r="U359">
        <v>0</v>
      </c>
      <c r="V359" t="str">
        <f t="shared" si="61"/>
        <v>65367 0 0 1 0</v>
      </c>
    </row>
    <row r="360" spans="2:22">
      <c r="C360">
        <v>7721</v>
      </c>
      <c r="D360">
        <f t="shared" si="64"/>
        <v>65475</v>
      </c>
      <c r="E360" cm="1">
        <f t="array" ref="E360">INDEX(C:C,MATCH(MIN(ABS(C:C-D360)),ABS(C:C-D360),0))</f>
        <v>65483</v>
      </c>
      <c r="G360">
        <f t="shared" si="63"/>
        <v>116</v>
      </c>
      <c r="L360">
        <v>0</v>
      </c>
      <c r="M360">
        <v>0</v>
      </c>
      <c r="N360">
        <v>1</v>
      </c>
      <c r="O360">
        <v>0</v>
      </c>
      <c r="P360" t="str">
        <f t="shared" si="62"/>
        <v>65483 0 0 1 0</v>
      </c>
      <c r="R360">
        <v>0</v>
      </c>
      <c r="S360">
        <v>0</v>
      </c>
      <c r="T360">
        <v>1</v>
      </c>
      <c r="U360">
        <v>0</v>
      </c>
    </row>
    <row r="361" spans="2:22">
      <c r="C361">
        <v>7744</v>
      </c>
      <c r="D361">
        <f t="shared" si="64"/>
        <v>65706</v>
      </c>
      <c r="E361" cm="1">
        <f t="array" ref="E361">INDEX(C:C,MATCH(MIN(ABS(C:C-D361)),ABS(C:C-D361),0))</f>
        <v>65713</v>
      </c>
      <c r="G361">
        <f t="shared" ref="G361:G424" si="65">E361-E360</f>
        <v>230</v>
      </c>
      <c r="L361">
        <v>0</v>
      </c>
      <c r="M361">
        <v>1</v>
      </c>
      <c r="N361">
        <v>0</v>
      </c>
      <c r="O361">
        <v>0</v>
      </c>
      <c r="P361" t="str">
        <f t="shared" si="62"/>
        <v>65713 0 1 0 0</v>
      </c>
      <c r="R361">
        <v>0</v>
      </c>
      <c r="S361">
        <v>1</v>
      </c>
      <c r="T361">
        <v>0</v>
      </c>
      <c r="U361">
        <v>0</v>
      </c>
      <c r="V361" t="str">
        <f t="shared" si="61"/>
        <v>65713 0 1 0 0</v>
      </c>
    </row>
    <row r="362" spans="2:22">
      <c r="C362">
        <v>7767</v>
      </c>
      <c r="D362">
        <f t="shared" si="64"/>
        <v>65823</v>
      </c>
      <c r="E362" cm="1">
        <f t="array" ref="E362">INDEX(C:C,MATCH(MIN(ABS(C:C-D362)),ABS(C:C-D362),0))</f>
        <v>65829</v>
      </c>
      <c r="G362">
        <f t="shared" si="65"/>
        <v>116</v>
      </c>
      <c r="L362">
        <v>0</v>
      </c>
      <c r="M362">
        <v>0</v>
      </c>
      <c r="N362">
        <v>1</v>
      </c>
      <c r="O362">
        <v>0</v>
      </c>
      <c r="P362" t="str">
        <f t="shared" si="62"/>
        <v>65829 0 0 1 0</v>
      </c>
      <c r="R362">
        <v>0</v>
      </c>
      <c r="S362">
        <v>0</v>
      </c>
      <c r="T362">
        <v>1</v>
      </c>
      <c r="U362">
        <v>0</v>
      </c>
      <c r="V362" t="str">
        <f t="shared" si="61"/>
        <v>65829 0 0 1 0</v>
      </c>
    </row>
    <row r="363" spans="2:22">
      <c r="C363">
        <v>7790</v>
      </c>
      <c r="D363">
        <f t="shared" si="64"/>
        <v>66052</v>
      </c>
      <c r="E363" cm="1">
        <f t="array" ref="E363">INDEX(C:C,MATCH(MIN(ABS(C:C-D363)),ABS(C:C-D363),0))</f>
        <v>66060</v>
      </c>
      <c r="G363">
        <f t="shared" si="65"/>
        <v>231</v>
      </c>
      <c r="L363">
        <v>0</v>
      </c>
      <c r="M363">
        <v>1</v>
      </c>
      <c r="N363">
        <v>0</v>
      </c>
      <c r="O363">
        <v>0</v>
      </c>
      <c r="P363" t="str">
        <f t="shared" si="62"/>
        <v>66060 0 1 0 0</v>
      </c>
      <c r="R363">
        <v>0</v>
      </c>
      <c r="S363">
        <v>1</v>
      </c>
      <c r="T363">
        <v>0</v>
      </c>
      <c r="U363">
        <v>0</v>
      </c>
      <c r="V363" t="str">
        <f t="shared" si="61"/>
        <v>66060 0 1 0 0</v>
      </c>
    </row>
    <row r="364" spans="2:22">
      <c r="C364">
        <v>7813</v>
      </c>
      <c r="D364">
        <f t="shared" si="64"/>
        <v>66170</v>
      </c>
      <c r="E364" cm="1">
        <f t="array" ref="E364">INDEX(C:C,MATCH(MIN(ABS(C:C-D364)),ABS(C:C-D364),0))</f>
        <v>66175</v>
      </c>
      <c r="G364">
        <f t="shared" si="65"/>
        <v>115</v>
      </c>
      <c r="L364">
        <v>0</v>
      </c>
      <c r="M364">
        <v>0</v>
      </c>
      <c r="N364">
        <v>1</v>
      </c>
      <c r="O364">
        <v>0</v>
      </c>
      <c r="P364" t="str">
        <f t="shared" si="62"/>
        <v>66175 0 0 1 0</v>
      </c>
      <c r="R364">
        <v>0</v>
      </c>
      <c r="S364">
        <v>0</v>
      </c>
      <c r="T364">
        <v>1</v>
      </c>
      <c r="U364">
        <v>0</v>
      </c>
      <c r="V364" t="str">
        <f t="shared" si="61"/>
        <v>66175 0 0 1 0</v>
      </c>
    </row>
    <row r="365" spans="2:22">
      <c r="C365">
        <v>7837</v>
      </c>
      <c r="D365">
        <f t="shared" si="64"/>
        <v>66407</v>
      </c>
      <c r="E365" cm="1">
        <f t="array" ref="E365">INDEX(C:C,MATCH(MIN(ABS(C:C-D365)),ABS(C:C-D365),0))</f>
        <v>66406</v>
      </c>
      <c r="G365">
        <f t="shared" si="65"/>
        <v>231</v>
      </c>
      <c r="L365">
        <v>1</v>
      </c>
      <c r="M365">
        <v>0</v>
      </c>
      <c r="N365">
        <v>0</v>
      </c>
      <c r="O365">
        <v>0</v>
      </c>
      <c r="P365" t="str">
        <f t="shared" si="62"/>
        <v>66406 1 0 0 0</v>
      </c>
      <c r="R365">
        <v>1</v>
      </c>
      <c r="S365">
        <v>0</v>
      </c>
      <c r="T365">
        <v>0</v>
      </c>
      <c r="U365">
        <v>0</v>
      </c>
      <c r="V365" t="str">
        <f t="shared" si="61"/>
        <v>66406 1 0 0 0</v>
      </c>
    </row>
    <row r="366" spans="2:22">
      <c r="C366">
        <v>7860</v>
      </c>
      <c r="D366">
        <f>ROUND(D344+6000/26*16,0)</f>
        <v>66634</v>
      </c>
      <c r="E366" cm="1">
        <f t="array" ref="E366">INDEX(C:C,MATCH(MIN(ABS(C:C-D366)),ABS(C:C-D366),0))</f>
        <v>66637</v>
      </c>
      <c r="G366">
        <f t="shared" si="65"/>
        <v>231</v>
      </c>
      <c r="L366">
        <v>1</v>
      </c>
      <c r="M366">
        <v>0</v>
      </c>
      <c r="N366">
        <v>0</v>
      </c>
      <c r="O366">
        <v>0</v>
      </c>
      <c r="P366" t="str">
        <f t="shared" si="62"/>
        <v>66637 1 0 0 0</v>
      </c>
      <c r="R366">
        <v>1</v>
      </c>
      <c r="S366">
        <v>0</v>
      </c>
      <c r="T366">
        <v>0</v>
      </c>
      <c r="U366">
        <v>0</v>
      </c>
      <c r="V366" t="str">
        <f t="shared" si="61"/>
        <v>66637 1 0 0 0</v>
      </c>
    </row>
    <row r="367" spans="2:22">
      <c r="C367">
        <v>7883</v>
      </c>
      <c r="D367">
        <f t="shared" ref="D367:D376" si="66">ROUND(D345+6000/26*16,0)</f>
        <v>66870</v>
      </c>
      <c r="E367" cm="1">
        <f t="array" ref="E367">INDEX(C:C,MATCH(MIN(ABS(C:C-D367)),ABS(C:C-D367),0))</f>
        <v>66867</v>
      </c>
      <c r="G367">
        <f t="shared" si="65"/>
        <v>230</v>
      </c>
      <c r="L367">
        <v>0</v>
      </c>
      <c r="M367">
        <v>1</v>
      </c>
      <c r="N367">
        <v>0</v>
      </c>
      <c r="O367">
        <v>0</v>
      </c>
      <c r="P367" t="str">
        <f t="shared" si="62"/>
        <v>66867 0 1 0 0</v>
      </c>
      <c r="R367">
        <v>0</v>
      </c>
      <c r="S367">
        <v>1</v>
      </c>
      <c r="T367">
        <v>0</v>
      </c>
      <c r="U367">
        <v>0</v>
      </c>
      <c r="V367" t="str">
        <f t="shared" si="61"/>
        <v>66867 0 1 0 0</v>
      </c>
    </row>
    <row r="368" spans="2:22">
      <c r="C368">
        <v>7906</v>
      </c>
      <c r="D368">
        <f t="shared" si="66"/>
        <v>66983</v>
      </c>
      <c r="E368" cm="1">
        <f t="array" ref="E368">INDEX(C:C,MATCH(MIN(ABS(C:C-D368)),ABS(C:C-D368),0))</f>
        <v>66983</v>
      </c>
      <c r="G368">
        <f t="shared" si="65"/>
        <v>116</v>
      </c>
      <c r="L368">
        <v>0</v>
      </c>
      <c r="M368">
        <v>1</v>
      </c>
      <c r="N368">
        <v>0</v>
      </c>
      <c r="O368">
        <v>0</v>
      </c>
      <c r="P368" t="str">
        <f t="shared" si="62"/>
        <v>66983 0 1 0 0</v>
      </c>
      <c r="R368">
        <v>0</v>
      </c>
      <c r="S368">
        <v>1</v>
      </c>
      <c r="T368">
        <v>0</v>
      </c>
      <c r="U368">
        <v>0</v>
      </c>
    </row>
    <row r="369" spans="3:22">
      <c r="C369">
        <v>7929</v>
      </c>
      <c r="D369">
        <f t="shared" si="66"/>
        <v>67090</v>
      </c>
      <c r="E369" cm="1">
        <f t="array" ref="E369">INDEX(C:C,MATCH(MIN(ABS(C:C-D369)),ABS(C:C-D369),0))</f>
        <v>67098</v>
      </c>
      <c r="G369">
        <f t="shared" si="65"/>
        <v>115</v>
      </c>
      <c r="L369">
        <v>0</v>
      </c>
      <c r="M369">
        <v>0</v>
      </c>
      <c r="N369">
        <v>1</v>
      </c>
      <c r="O369">
        <v>0</v>
      </c>
      <c r="P369" t="str">
        <f t="shared" si="62"/>
        <v>67098 0 0 1 0</v>
      </c>
      <c r="R369">
        <v>0</v>
      </c>
      <c r="S369">
        <v>0</v>
      </c>
      <c r="T369">
        <v>1</v>
      </c>
      <c r="U369">
        <v>0</v>
      </c>
      <c r="V369" t="str">
        <f t="shared" si="61"/>
        <v>67098 0 0 1 0</v>
      </c>
    </row>
    <row r="370" spans="3:22">
      <c r="C370">
        <v>7952</v>
      </c>
      <c r="D370">
        <f t="shared" si="66"/>
        <v>67206</v>
      </c>
      <c r="E370" cm="1">
        <f t="array" ref="E370">INDEX(C:C,MATCH(MIN(ABS(C:C-D370)),ABS(C:C-D370),0))</f>
        <v>67213</v>
      </c>
      <c r="G370">
        <f t="shared" si="65"/>
        <v>115</v>
      </c>
      <c r="L370">
        <v>0</v>
      </c>
      <c r="M370">
        <v>1</v>
      </c>
      <c r="N370">
        <v>0</v>
      </c>
      <c r="O370">
        <v>0</v>
      </c>
      <c r="P370" t="str">
        <f t="shared" si="62"/>
        <v>67213 0 1 0 0</v>
      </c>
      <c r="R370">
        <v>0</v>
      </c>
      <c r="S370">
        <v>1</v>
      </c>
      <c r="T370">
        <v>0</v>
      </c>
      <c r="U370">
        <v>0</v>
      </c>
      <c r="V370" t="str">
        <f t="shared" si="61"/>
        <v>67213 0 1 0 0</v>
      </c>
    </row>
    <row r="371" spans="3:22">
      <c r="C371">
        <v>7975</v>
      </c>
      <c r="D371">
        <f t="shared" si="66"/>
        <v>67321</v>
      </c>
      <c r="E371" cm="1">
        <f t="array" ref="E371">INDEX(C:C,MATCH(MIN(ABS(C:C-D371)),ABS(C:C-D371),0))</f>
        <v>67329</v>
      </c>
      <c r="G371">
        <f t="shared" si="65"/>
        <v>116</v>
      </c>
      <c r="L371">
        <v>0</v>
      </c>
      <c r="M371">
        <v>1</v>
      </c>
      <c r="N371">
        <v>0</v>
      </c>
      <c r="O371">
        <v>0</v>
      </c>
      <c r="P371" t="str">
        <f t="shared" si="62"/>
        <v>67329 0 1 0 0</v>
      </c>
      <c r="R371">
        <v>0</v>
      </c>
      <c r="S371">
        <v>1</v>
      </c>
      <c r="T371">
        <v>0</v>
      </c>
      <c r="U371">
        <v>0</v>
      </c>
    </row>
    <row r="372" spans="3:22">
      <c r="C372">
        <v>7998</v>
      </c>
      <c r="D372">
        <f t="shared" si="66"/>
        <v>67552</v>
      </c>
      <c r="E372" cm="1">
        <f t="array" ref="E372">INDEX(C:C,MATCH(MIN(ABS(C:C-D372)),ABS(C:C-D372),0))</f>
        <v>67560</v>
      </c>
      <c r="G372">
        <f t="shared" si="65"/>
        <v>231</v>
      </c>
      <c r="L372">
        <v>0</v>
      </c>
      <c r="M372">
        <v>0</v>
      </c>
      <c r="N372">
        <v>1</v>
      </c>
      <c r="O372">
        <v>0</v>
      </c>
      <c r="P372" t="str">
        <f t="shared" si="62"/>
        <v>67560 0 0 1 0</v>
      </c>
      <c r="R372">
        <v>0</v>
      </c>
      <c r="S372">
        <v>0</v>
      </c>
      <c r="T372">
        <v>1</v>
      </c>
      <c r="U372">
        <v>0</v>
      </c>
      <c r="V372" t="str">
        <f t="shared" si="61"/>
        <v>67560 0 0 1 0</v>
      </c>
    </row>
    <row r="373" spans="3:22">
      <c r="C373">
        <v>8021</v>
      </c>
      <c r="D373">
        <f t="shared" si="66"/>
        <v>67669</v>
      </c>
      <c r="E373" cm="1">
        <f t="array" ref="E373">INDEX(C:C,MATCH(MIN(ABS(C:C-D373)),ABS(C:C-D373),0))</f>
        <v>67675</v>
      </c>
      <c r="G373">
        <f t="shared" si="65"/>
        <v>115</v>
      </c>
      <c r="L373">
        <v>0</v>
      </c>
      <c r="M373">
        <v>1</v>
      </c>
      <c r="N373">
        <v>0</v>
      </c>
      <c r="O373">
        <v>0</v>
      </c>
      <c r="P373" t="str">
        <f t="shared" si="62"/>
        <v>67675 0 1 0 0</v>
      </c>
      <c r="R373">
        <v>0</v>
      </c>
      <c r="S373">
        <v>1</v>
      </c>
      <c r="T373">
        <v>0</v>
      </c>
      <c r="U373">
        <v>0</v>
      </c>
      <c r="V373" t="str">
        <f t="shared" si="61"/>
        <v>67675 0 1 0 0</v>
      </c>
    </row>
    <row r="374" spans="3:22">
      <c r="C374">
        <v>8044</v>
      </c>
      <c r="D374">
        <f t="shared" si="66"/>
        <v>67898</v>
      </c>
      <c r="E374" cm="1">
        <f t="array" ref="E374">INDEX(C:C,MATCH(MIN(ABS(C:C-D374)),ABS(C:C-D374),0))</f>
        <v>67906</v>
      </c>
      <c r="G374">
        <f t="shared" si="65"/>
        <v>231</v>
      </c>
      <c r="L374">
        <v>0</v>
      </c>
      <c r="M374">
        <v>0</v>
      </c>
      <c r="N374">
        <v>1</v>
      </c>
      <c r="O374">
        <v>0</v>
      </c>
      <c r="P374" t="str">
        <f t="shared" si="62"/>
        <v>67906 0 0 1 0</v>
      </c>
      <c r="R374">
        <v>0</v>
      </c>
      <c r="S374">
        <v>0</v>
      </c>
      <c r="T374">
        <v>1</v>
      </c>
      <c r="U374">
        <v>0</v>
      </c>
      <c r="V374" t="str">
        <f t="shared" si="61"/>
        <v>67906 0 0 1 0</v>
      </c>
    </row>
    <row r="375" spans="3:22">
      <c r="C375">
        <v>8067</v>
      </c>
      <c r="D375">
        <f t="shared" si="66"/>
        <v>68016</v>
      </c>
      <c r="E375" cm="1">
        <f t="array" ref="E375">INDEX(C:C,MATCH(MIN(ABS(C:C-D375)),ABS(C:C-D375),0))</f>
        <v>68021</v>
      </c>
      <c r="G375">
        <f t="shared" si="65"/>
        <v>115</v>
      </c>
      <c r="L375">
        <v>0</v>
      </c>
      <c r="M375">
        <v>1</v>
      </c>
      <c r="N375">
        <v>0</v>
      </c>
      <c r="O375">
        <v>0</v>
      </c>
      <c r="P375" t="str">
        <f t="shared" si="62"/>
        <v>68021 0 1 0 0</v>
      </c>
      <c r="R375">
        <v>0</v>
      </c>
      <c r="S375">
        <v>1</v>
      </c>
      <c r="T375">
        <v>0</v>
      </c>
      <c r="U375">
        <v>0</v>
      </c>
      <c r="V375" t="str">
        <f t="shared" si="61"/>
        <v>68021 0 1 0 0</v>
      </c>
    </row>
    <row r="376" spans="3:22">
      <c r="C376">
        <v>8090</v>
      </c>
      <c r="D376">
        <f t="shared" si="66"/>
        <v>68253</v>
      </c>
      <c r="E376" cm="1">
        <f t="array" ref="E376">INDEX(C:C,MATCH(MIN(ABS(C:C-D376)),ABS(C:C-D376),0))</f>
        <v>68252</v>
      </c>
      <c r="G376">
        <f t="shared" si="65"/>
        <v>231</v>
      </c>
      <c r="L376">
        <v>0</v>
      </c>
      <c r="M376">
        <v>0</v>
      </c>
      <c r="N376">
        <v>0</v>
      </c>
      <c r="O376">
        <v>1</v>
      </c>
      <c r="P376" t="str">
        <f t="shared" si="62"/>
        <v>68252 0 0 0 1</v>
      </c>
      <c r="R376">
        <v>0</v>
      </c>
      <c r="S376">
        <v>0</v>
      </c>
      <c r="T376">
        <v>0</v>
      </c>
      <c r="U376">
        <v>1</v>
      </c>
      <c r="V376" t="str">
        <f t="shared" si="61"/>
        <v>68252 0 0 0 1</v>
      </c>
    </row>
    <row r="377" spans="3:22">
      <c r="C377">
        <v>8113</v>
      </c>
      <c r="D377">
        <f>ROUND(D344+6000/26*24,0)</f>
        <v>68480</v>
      </c>
      <c r="E377" cm="1">
        <f t="array" ref="E377">INDEX(C:C,MATCH(MIN(ABS(C:C-D377)),ABS(C:C-D377),0))</f>
        <v>68483</v>
      </c>
      <c r="G377">
        <f t="shared" si="65"/>
        <v>231</v>
      </c>
      <c r="L377">
        <v>1</v>
      </c>
      <c r="M377">
        <v>0</v>
      </c>
      <c r="N377">
        <v>0</v>
      </c>
      <c r="O377">
        <v>1</v>
      </c>
      <c r="P377" t="str">
        <f t="shared" si="62"/>
        <v>68483 1 0 0 1</v>
      </c>
      <c r="R377">
        <v>1</v>
      </c>
      <c r="S377">
        <v>0</v>
      </c>
      <c r="T377">
        <v>0</v>
      </c>
      <c r="U377">
        <v>1</v>
      </c>
      <c r="V377" t="str">
        <f t="shared" ref="V377:V408" si="67">E377&amp;" "&amp;R377&amp;" "&amp;S377&amp;" "&amp;T377&amp;" "&amp;U377</f>
        <v>68483 1 0 0 1</v>
      </c>
    </row>
    <row r="378" spans="3:22">
      <c r="C378">
        <v>8137</v>
      </c>
      <c r="D378">
        <f t="shared" ref="D378:D387" si="68">ROUND(D345+6000/26*24,0)</f>
        <v>68716</v>
      </c>
      <c r="E378" cm="1">
        <f t="array" ref="E378">INDEX(C:C,MATCH(MIN(ABS(C:C-D378)),ABS(C:C-D378),0))</f>
        <v>68713</v>
      </c>
      <c r="G378">
        <f t="shared" si="65"/>
        <v>230</v>
      </c>
      <c r="L378">
        <v>0</v>
      </c>
      <c r="M378">
        <v>0</v>
      </c>
      <c r="N378">
        <v>1</v>
      </c>
      <c r="O378">
        <v>0</v>
      </c>
      <c r="P378" t="str">
        <f t="shared" si="62"/>
        <v>68713 0 0 1 0</v>
      </c>
      <c r="R378">
        <v>0</v>
      </c>
      <c r="S378">
        <v>0</v>
      </c>
      <c r="T378">
        <v>1</v>
      </c>
      <c r="U378">
        <v>0</v>
      </c>
      <c r="V378" t="str">
        <f t="shared" si="67"/>
        <v>68713 0 0 1 0</v>
      </c>
    </row>
    <row r="379" spans="3:22">
      <c r="C379">
        <v>8160</v>
      </c>
      <c r="D379">
        <f t="shared" si="68"/>
        <v>68829</v>
      </c>
      <c r="E379" cm="1">
        <f t="array" ref="E379">INDEX(C:C,MATCH(MIN(ABS(C:C-D379)),ABS(C:C-D379),0))</f>
        <v>68829</v>
      </c>
      <c r="G379">
        <f t="shared" si="65"/>
        <v>116</v>
      </c>
      <c r="L379">
        <v>0</v>
      </c>
      <c r="M379">
        <v>0</v>
      </c>
      <c r="N379">
        <v>1</v>
      </c>
      <c r="O379">
        <v>0</v>
      </c>
      <c r="P379" t="str">
        <f t="shared" si="62"/>
        <v>68829 0 0 1 0</v>
      </c>
      <c r="R379">
        <v>0</v>
      </c>
      <c r="S379">
        <v>0</v>
      </c>
      <c r="T379">
        <v>1</v>
      </c>
      <c r="U379">
        <v>0</v>
      </c>
    </row>
    <row r="380" spans="3:22">
      <c r="C380">
        <v>8183</v>
      </c>
      <c r="D380">
        <f t="shared" si="68"/>
        <v>68936</v>
      </c>
      <c r="E380" cm="1">
        <f t="array" ref="E380">INDEX(C:C,MATCH(MIN(ABS(C:C-D380)),ABS(C:C-D380),0))</f>
        <v>68944</v>
      </c>
      <c r="G380">
        <f t="shared" si="65"/>
        <v>115</v>
      </c>
      <c r="L380">
        <v>0</v>
      </c>
      <c r="M380">
        <v>1</v>
      </c>
      <c r="N380">
        <v>0</v>
      </c>
      <c r="O380">
        <v>0</v>
      </c>
      <c r="P380" t="str">
        <f t="shared" si="62"/>
        <v>68944 0 1 0 0</v>
      </c>
      <c r="R380">
        <v>0</v>
      </c>
      <c r="S380">
        <v>1</v>
      </c>
      <c r="T380">
        <v>0</v>
      </c>
      <c r="U380">
        <v>0</v>
      </c>
      <c r="V380" t="str">
        <f t="shared" si="67"/>
        <v>68944 0 1 0 0</v>
      </c>
    </row>
    <row r="381" spans="3:22">
      <c r="C381">
        <v>8206</v>
      </c>
      <c r="D381">
        <f t="shared" si="68"/>
        <v>69052</v>
      </c>
      <c r="E381" cm="1">
        <f t="array" ref="E381">INDEX(C:C,MATCH(MIN(ABS(C:C-D381)),ABS(C:C-D381),0))</f>
        <v>69060</v>
      </c>
      <c r="G381">
        <f t="shared" si="65"/>
        <v>116</v>
      </c>
      <c r="L381">
        <v>0</v>
      </c>
      <c r="M381">
        <v>0</v>
      </c>
      <c r="N381">
        <v>1</v>
      </c>
      <c r="O381">
        <v>0</v>
      </c>
      <c r="P381" t="str">
        <f t="shared" si="62"/>
        <v>69060 0 0 1 0</v>
      </c>
      <c r="R381">
        <v>0</v>
      </c>
      <c r="S381">
        <v>0</v>
      </c>
      <c r="T381">
        <v>1</v>
      </c>
      <c r="U381">
        <v>0</v>
      </c>
      <c r="V381" t="str">
        <f t="shared" si="67"/>
        <v>69060 0 0 1 0</v>
      </c>
    </row>
    <row r="382" spans="3:22">
      <c r="C382">
        <v>8229</v>
      </c>
      <c r="D382">
        <f t="shared" si="68"/>
        <v>69167</v>
      </c>
      <c r="E382" cm="1">
        <f t="array" ref="E382">INDEX(C:C,MATCH(MIN(ABS(C:C-D382)),ABS(C:C-D382),0))</f>
        <v>69175</v>
      </c>
      <c r="G382">
        <f t="shared" si="65"/>
        <v>115</v>
      </c>
      <c r="L382">
        <v>0</v>
      </c>
      <c r="M382">
        <v>0</v>
      </c>
      <c r="N382">
        <v>1</v>
      </c>
      <c r="O382">
        <v>0</v>
      </c>
      <c r="P382" t="str">
        <f t="shared" si="62"/>
        <v>69175 0 0 1 0</v>
      </c>
      <c r="R382">
        <v>0</v>
      </c>
      <c r="S382">
        <v>0</v>
      </c>
      <c r="T382">
        <v>1</v>
      </c>
      <c r="U382">
        <v>0</v>
      </c>
    </row>
    <row r="383" spans="3:22">
      <c r="C383">
        <v>8252</v>
      </c>
      <c r="D383">
        <f t="shared" si="68"/>
        <v>69398</v>
      </c>
      <c r="E383" cm="1">
        <f t="array" ref="E383">INDEX(C:C,MATCH(MIN(ABS(C:C-D383)),ABS(C:C-D383),0))</f>
        <v>69406</v>
      </c>
      <c r="G383">
        <f t="shared" si="65"/>
        <v>231</v>
      </c>
      <c r="L383">
        <v>0</v>
      </c>
      <c r="M383">
        <v>1</v>
      </c>
      <c r="N383">
        <v>0</v>
      </c>
      <c r="O383">
        <v>0</v>
      </c>
      <c r="P383" t="str">
        <f t="shared" si="62"/>
        <v>69406 0 1 0 0</v>
      </c>
      <c r="R383">
        <v>0</v>
      </c>
      <c r="S383">
        <v>1</v>
      </c>
      <c r="T383">
        <v>0</v>
      </c>
      <c r="U383">
        <v>0</v>
      </c>
      <c r="V383" t="str">
        <f t="shared" si="67"/>
        <v>69406 0 1 0 0</v>
      </c>
    </row>
    <row r="384" spans="3:22">
      <c r="C384">
        <v>8275</v>
      </c>
      <c r="D384">
        <f t="shared" si="68"/>
        <v>69515</v>
      </c>
      <c r="E384" cm="1">
        <f t="array" ref="E384">INDEX(C:C,MATCH(MIN(ABS(C:C-D384)),ABS(C:C-D384),0))</f>
        <v>69521</v>
      </c>
      <c r="G384">
        <f t="shared" si="65"/>
        <v>115</v>
      </c>
      <c r="L384">
        <v>0</v>
      </c>
      <c r="M384">
        <v>1</v>
      </c>
      <c r="N384">
        <v>0</v>
      </c>
      <c r="O384">
        <v>0</v>
      </c>
      <c r="P384" t="str">
        <f t="shared" si="62"/>
        <v>69521 0 1 0 0</v>
      </c>
      <c r="R384">
        <v>0</v>
      </c>
      <c r="S384">
        <v>1</v>
      </c>
      <c r="T384">
        <v>0</v>
      </c>
      <c r="U384">
        <v>0</v>
      </c>
    </row>
    <row r="385" spans="1:22">
      <c r="C385">
        <v>8298</v>
      </c>
      <c r="D385">
        <v>69628</v>
      </c>
      <c r="E385" cm="1">
        <f t="array" ref="E385">INDEX(C:C,MATCH(MIN(ABS(C:C-D385)),ABS(C:C-D385),0))</f>
        <v>69637</v>
      </c>
      <c r="G385">
        <f t="shared" si="65"/>
        <v>116</v>
      </c>
      <c r="L385">
        <v>0</v>
      </c>
      <c r="M385">
        <v>1</v>
      </c>
      <c r="N385">
        <v>0</v>
      </c>
      <c r="O385">
        <v>0</v>
      </c>
      <c r="P385" t="str">
        <f t="shared" ref="P385:P416" si="69">E385&amp;" "&amp;L385&amp;" "&amp;M385&amp;" "&amp;N385&amp;" "&amp;O385</f>
        <v>69637 0 1 0 0</v>
      </c>
      <c r="R385">
        <v>0</v>
      </c>
      <c r="S385">
        <v>1</v>
      </c>
      <c r="T385">
        <v>0</v>
      </c>
      <c r="U385">
        <v>0</v>
      </c>
      <c r="V385" t="str">
        <f t="shared" si="67"/>
        <v>69637 0 1 0 0</v>
      </c>
    </row>
    <row r="386" spans="1:22">
      <c r="C386">
        <v>8321</v>
      </c>
      <c r="D386">
        <v>69747</v>
      </c>
      <c r="E386" cm="1">
        <f t="array" ref="E386">INDEX(C:C,MATCH(MIN(ABS(C:C-D386)),ABS(C:C-D386),0))</f>
        <v>69752</v>
      </c>
      <c r="G386">
        <f t="shared" si="65"/>
        <v>115</v>
      </c>
      <c r="L386">
        <v>0</v>
      </c>
      <c r="M386">
        <v>1</v>
      </c>
      <c r="N386">
        <v>0</v>
      </c>
      <c r="O386">
        <v>0</v>
      </c>
      <c r="P386" t="str">
        <f t="shared" si="69"/>
        <v>69752 0 1 0 0</v>
      </c>
      <c r="R386">
        <v>0</v>
      </c>
      <c r="S386">
        <v>1</v>
      </c>
      <c r="T386">
        <v>0</v>
      </c>
      <c r="U386">
        <v>0</v>
      </c>
    </row>
    <row r="387" spans="1:22">
      <c r="C387">
        <v>8344</v>
      </c>
      <c r="D387">
        <v>69866</v>
      </c>
      <c r="E387" cm="1">
        <f t="array" ref="E387">INDEX(C:C,MATCH(MIN(ABS(C:C-D387)),ABS(C:C-D387),0))</f>
        <v>69867</v>
      </c>
      <c r="G387">
        <f t="shared" si="65"/>
        <v>115</v>
      </c>
      <c r="L387">
        <v>0</v>
      </c>
      <c r="M387">
        <v>0</v>
      </c>
      <c r="N387">
        <v>1</v>
      </c>
      <c r="O387">
        <v>0</v>
      </c>
      <c r="P387" t="str">
        <f t="shared" si="69"/>
        <v>69867 0 0 1 0</v>
      </c>
      <c r="R387">
        <v>0</v>
      </c>
      <c r="S387">
        <v>0</v>
      </c>
      <c r="T387">
        <v>1</v>
      </c>
      <c r="U387">
        <v>0</v>
      </c>
      <c r="V387" t="str">
        <f t="shared" si="67"/>
        <v>69867 0 0 1 0</v>
      </c>
    </row>
    <row r="388" spans="1:22">
      <c r="C388">
        <v>8367</v>
      </c>
      <c r="D388">
        <v>70094</v>
      </c>
      <c r="E388" cm="1">
        <f t="array" ref="E388">INDEX(C:C,MATCH(MIN(ABS(C:C-D388)),ABS(C:C-D388),0))</f>
        <v>70098</v>
      </c>
      <c r="G388">
        <f t="shared" si="65"/>
        <v>231</v>
      </c>
      <c r="L388">
        <v>1</v>
      </c>
      <c r="M388">
        <v>0</v>
      </c>
      <c r="N388">
        <v>0</v>
      </c>
      <c r="O388">
        <v>0</v>
      </c>
      <c r="P388" t="str">
        <f t="shared" si="69"/>
        <v>70098 1 0 0 0</v>
      </c>
      <c r="R388">
        <v>1</v>
      </c>
      <c r="S388">
        <v>0</v>
      </c>
      <c r="T388">
        <v>0</v>
      </c>
      <c r="U388">
        <v>0</v>
      </c>
      <c r="V388" t="str">
        <f t="shared" si="67"/>
        <v>70098 1 0 0 0</v>
      </c>
    </row>
    <row r="389" spans="1:22">
      <c r="A389" t="s">
        <v>96</v>
      </c>
      <c r="C389">
        <v>8390</v>
      </c>
      <c r="D389">
        <f>ROUND(D344+6000/26*32,0)</f>
        <v>70327</v>
      </c>
      <c r="E389" cm="1">
        <f t="array" ref="E389">INDEX(C:C,MATCH(MIN(ABS(C:C-D389)),ABS(C:C-D389),0))</f>
        <v>70329</v>
      </c>
      <c r="G389">
        <f t="shared" si="65"/>
        <v>231</v>
      </c>
      <c r="L389" cm="1">
        <f t="array" ref="L389:O433">_xlfn.SORTBY(L344:O388,COLUMN(L344:O388),-1)</f>
        <v>0</v>
      </c>
      <c r="M389">
        <v>0</v>
      </c>
      <c r="N389">
        <v>0</v>
      </c>
      <c r="O389">
        <v>1</v>
      </c>
      <c r="P389" t="str">
        <f t="shared" si="69"/>
        <v>70329 0 0 0 1</v>
      </c>
      <c r="R389">
        <v>0</v>
      </c>
      <c r="S389">
        <v>0</v>
      </c>
      <c r="T389">
        <v>0</v>
      </c>
      <c r="U389">
        <v>1</v>
      </c>
      <c r="V389" t="str">
        <f t="shared" si="67"/>
        <v>70329 0 0 0 1</v>
      </c>
    </row>
    <row r="390" spans="1:22">
      <c r="C390">
        <v>8413</v>
      </c>
      <c r="D390">
        <f t="shared" ref="D390:D433" si="70">ROUND(D345+6000/26*32,0)</f>
        <v>70563</v>
      </c>
      <c r="E390" cm="1">
        <f t="array" ref="E390">INDEX(C:C,MATCH(MIN(ABS(C:C-D390)),ABS(C:C-D390),0))</f>
        <v>70560</v>
      </c>
      <c r="G390">
        <f t="shared" si="65"/>
        <v>231</v>
      </c>
      <c r="L390">
        <v>0</v>
      </c>
      <c r="M390">
        <v>0</v>
      </c>
      <c r="N390">
        <v>1</v>
      </c>
      <c r="O390">
        <v>0</v>
      </c>
      <c r="P390" t="str">
        <f t="shared" si="69"/>
        <v>70560 0 0 1 0</v>
      </c>
      <c r="R390">
        <v>0</v>
      </c>
      <c r="S390">
        <v>0</v>
      </c>
      <c r="T390">
        <v>1</v>
      </c>
      <c r="U390">
        <v>0</v>
      </c>
      <c r="V390" t="str">
        <f t="shared" si="67"/>
        <v>70560 0 0 1 0</v>
      </c>
    </row>
    <row r="391" spans="1:22">
      <c r="C391">
        <v>8437</v>
      </c>
      <c r="D391">
        <f t="shared" si="70"/>
        <v>70676</v>
      </c>
      <c r="E391" cm="1">
        <f t="array" ref="E391">INDEX(C:C,MATCH(MIN(ABS(C:C-D391)),ABS(C:C-D391),0))</f>
        <v>70675</v>
      </c>
      <c r="G391">
        <f t="shared" si="65"/>
        <v>115</v>
      </c>
      <c r="L391">
        <v>0</v>
      </c>
      <c r="M391">
        <v>0</v>
      </c>
      <c r="N391">
        <v>1</v>
      </c>
      <c r="O391">
        <v>0</v>
      </c>
      <c r="P391" t="str">
        <f t="shared" si="69"/>
        <v>70675 0 0 1 0</v>
      </c>
      <c r="R391">
        <v>0</v>
      </c>
      <c r="S391">
        <v>0</v>
      </c>
      <c r="T391">
        <v>1</v>
      </c>
      <c r="U391">
        <v>0</v>
      </c>
    </row>
    <row r="392" spans="1:22">
      <c r="C392">
        <v>8460</v>
      </c>
      <c r="D392">
        <f t="shared" si="70"/>
        <v>70783</v>
      </c>
      <c r="E392" cm="1">
        <f t="array" ref="E392">INDEX(C:C,MATCH(MIN(ABS(C:C-D392)),ABS(C:C-D392),0))</f>
        <v>70790</v>
      </c>
      <c r="G392">
        <f t="shared" si="65"/>
        <v>115</v>
      </c>
      <c r="L392">
        <v>0</v>
      </c>
      <c r="M392">
        <v>1</v>
      </c>
      <c r="N392">
        <v>0</v>
      </c>
      <c r="O392">
        <v>0</v>
      </c>
      <c r="P392" t="str">
        <f t="shared" si="69"/>
        <v>70790 0 1 0 0</v>
      </c>
      <c r="R392">
        <v>0</v>
      </c>
      <c r="S392">
        <v>1</v>
      </c>
      <c r="T392">
        <v>0</v>
      </c>
      <c r="U392">
        <v>0</v>
      </c>
      <c r="V392" t="str">
        <f t="shared" si="67"/>
        <v>70790 0 1 0 0</v>
      </c>
    </row>
    <row r="393" spans="1:22">
      <c r="C393">
        <v>8483</v>
      </c>
      <c r="D393">
        <f t="shared" si="70"/>
        <v>70899</v>
      </c>
      <c r="E393" cm="1">
        <f t="array" ref="E393">INDEX(C:C,MATCH(MIN(ABS(C:C-D393)),ABS(C:C-D393),0))</f>
        <v>70906</v>
      </c>
      <c r="G393">
        <f t="shared" si="65"/>
        <v>116</v>
      </c>
      <c r="L393">
        <v>0</v>
      </c>
      <c r="M393">
        <v>0</v>
      </c>
      <c r="N393">
        <v>1</v>
      </c>
      <c r="O393">
        <v>0</v>
      </c>
      <c r="P393" t="str">
        <f t="shared" si="69"/>
        <v>70906 0 0 1 0</v>
      </c>
      <c r="R393">
        <v>0</v>
      </c>
      <c r="S393">
        <v>0</v>
      </c>
      <c r="T393">
        <v>1</v>
      </c>
      <c r="U393">
        <v>0</v>
      </c>
      <c r="V393" t="str">
        <f t="shared" si="67"/>
        <v>70906 0 0 1 0</v>
      </c>
    </row>
    <row r="394" spans="1:22">
      <c r="C394">
        <v>8506</v>
      </c>
      <c r="D394">
        <f t="shared" si="70"/>
        <v>71014</v>
      </c>
      <c r="E394" cm="1">
        <f t="array" ref="E394">INDEX(C:C,MATCH(MIN(ABS(C:C-D394)),ABS(C:C-D394),0))</f>
        <v>71021</v>
      </c>
      <c r="G394">
        <f t="shared" si="65"/>
        <v>115</v>
      </c>
      <c r="L394">
        <v>0</v>
      </c>
      <c r="M394">
        <v>0</v>
      </c>
      <c r="N394">
        <v>1</v>
      </c>
      <c r="O394">
        <v>0</v>
      </c>
      <c r="P394" t="str">
        <f t="shared" si="69"/>
        <v>71021 0 0 1 0</v>
      </c>
      <c r="R394">
        <v>0</v>
      </c>
      <c r="S394">
        <v>0</v>
      </c>
      <c r="T394">
        <v>1</v>
      </c>
      <c r="U394">
        <v>0</v>
      </c>
    </row>
    <row r="395" spans="1:22">
      <c r="C395">
        <v>8529</v>
      </c>
      <c r="D395">
        <f t="shared" si="70"/>
        <v>71245</v>
      </c>
      <c r="E395" cm="1">
        <f t="array" ref="E395">INDEX(C:C,MATCH(MIN(ABS(C:C-D395)),ABS(C:C-D395),0))</f>
        <v>71252</v>
      </c>
      <c r="G395">
        <f t="shared" si="65"/>
        <v>231</v>
      </c>
      <c r="L395">
        <v>0</v>
      </c>
      <c r="M395">
        <v>1</v>
      </c>
      <c r="N395">
        <v>0</v>
      </c>
      <c r="O395">
        <v>0</v>
      </c>
      <c r="P395" t="str">
        <f t="shared" si="69"/>
        <v>71252 0 1 0 0</v>
      </c>
      <c r="R395">
        <v>0</v>
      </c>
      <c r="S395">
        <v>1</v>
      </c>
      <c r="T395">
        <v>0</v>
      </c>
      <c r="U395">
        <v>0</v>
      </c>
      <c r="V395" t="str">
        <f t="shared" si="67"/>
        <v>71252 0 1 0 0</v>
      </c>
    </row>
    <row r="396" spans="1:22">
      <c r="C396">
        <v>8552</v>
      </c>
      <c r="D396">
        <f t="shared" si="70"/>
        <v>71362</v>
      </c>
      <c r="E396" cm="1">
        <f t="array" ref="E396">INDEX(C:C,MATCH(MIN(ABS(C:C-D396)),ABS(C:C-D396),0))</f>
        <v>71367</v>
      </c>
      <c r="G396">
        <f t="shared" si="65"/>
        <v>115</v>
      </c>
      <c r="L396">
        <v>0</v>
      </c>
      <c r="M396">
        <v>0</v>
      </c>
      <c r="N396">
        <v>1</v>
      </c>
      <c r="O396">
        <v>0</v>
      </c>
      <c r="P396" t="str">
        <f t="shared" si="69"/>
        <v>71367 0 0 1 0</v>
      </c>
      <c r="R396">
        <v>0</v>
      </c>
      <c r="S396">
        <v>0</v>
      </c>
      <c r="T396">
        <v>1</v>
      </c>
      <c r="U396">
        <v>0</v>
      </c>
      <c r="V396" t="str">
        <f t="shared" si="67"/>
        <v>71367 0 0 1 0</v>
      </c>
    </row>
    <row r="397" spans="1:22">
      <c r="C397">
        <v>8575</v>
      </c>
      <c r="D397">
        <f t="shared" si="70"/>
        <v>71591</v>
      </c>
      <c r="E397" cm="1">
        <f t="array" ref="E397">INDEX(C:C,MATCH(MIN(ABS(C:C-D397)),ABS(C:C-D397),0))</f>
        <v>71598</v>
      </c>
      <c r="G397">
        <f t="shared" si="65"/>
        <v>231</v>
      </c>
      <c r="L397">
        <v>0</v>
      </c>
      <c r="M397">
        <v>1</v>
      </c>
      <c r="N397">
        <v>0</v>
      </c>
      <c r="O397">
        <v>0</v>
      </c>
      <c r="P397" t="str">
        <f t="shared" si="69"/>
        <v>71598 0 1 0 0</v>
      </c>
      <c r="R397">
        <v>0</v>
      </c>
      <c r="S397">
        <v>1</v>
      </c>
      <c r="T397">
        <v>0</v>
      </c>
      <c r="U397">
        <v>0</v>
      </c>
      <c r="V397" t="str">
        <f t="shared" si="67"/>
        <v>71598 0 1 0 0</v>
      </c>
    </row>
    <row r="398" spans="1:22">
      <c r="C398">
        <v>8598</v>
      </c>
      <c r="D398">
        <f t="shared" si="70"/>
        <v>71709</v>
      </c>
      <c r="E398" cm="1">
        <f t="array" ref="E398">INDEX(C:C,MATCH(MIN(ABS(C:C-D398)),ABS(C:C-D398),0))</f>
        <v>71713</v>
      </c>
      <c r="G398">
        <f t="shared" si="65"/>
        <v>115</v>
      </c>
      <c r="L398">
        <v>0</v>
      </c>
      <c r="M398">
        <v>0</v>
      </c>
      <c r="N398">
        <v>1</v>
      </c>
      <c r="O398">
        <v>0</v>
      </c>
      <c r="P398" t="str">
        <f t="shared" si="69"/>
        <v>71713 0 0 1 0</v>
      </c>
      <c r="R398">
        <v>0</v>
      </c>
      <c r="S398">
        <v>0</v>
      </c>
      <c r="T398">
        <v>1</v>
      </c>
      <c r="U398">
        <v>0</v>
      </c>
      <c r="V398" t="str">
        <f t="shared" si="67"/>
        <v>71713 0 0 1 0</v>
      </c>
    </row>
    <row r="399" spans="1:22">
      <c r="C399">
        <v>8621</v>
      </c>
      <c r="D399">
        <f t="shared" si="70"/>
        <v>71946</v>
      </c>
      <c r="E399" cm="1">
        <f t="array" ref="E399">INDEX(C:C,MATCH(MIN(ABS(C:C-D399)),ABS(C:C-D399),0))</f>
        <v>71944</v>
      </c>
      <c r="G399">
        <f t="shared" si="65"/>
        <v>231</v>
      </c>
      <c r="L399">
        <v>1</v>
      </c>
      <c r="M399">
        <v>0</v>
      </c>
      <c r="N399">
        <v>0</v>
      </c>
      <c r="O399">
        <v>0</v>
      </c>
      <c r="P399" t="str">
        <f t="shared" si="69"/>
        <v>71944 1 0 0 0</v>
      </c>
      <c r="R399">
        <v>1</v>
      </c>
      <c r="S399">
        <v>0</v>
      </c>
      <c r="T399">
        <v>0</v>
      </c>
      <c r="U399">
        <v>0</v>
      </c>
      <c r="V399" t="str">
        <f t="shared" si="67"/>
        <v>71944 1 0 0 0</v>
      </c>
    </row>
    <row r="400" spans="1:22">
      <c r="C400">
        <v>8644</v>
      </c>
      <c r="D400">
        <f t="shared" si="70"/>
        <v>72173</v>
      </c>
      <c r="E400" cm="1">
        <f t="array" ref="E400">INDEX(C:C,MATCH(MIN(ABS(C:C-D400)),ABS(C:C-D400),0))</f>
        <v>72175</v>
      </c>
      <c r="G400">
        <f t="shared" si="65"/>
        <v>231</v>
      </c>
      <c r="L400">
        <v>1</v>
      </c>
      <c r="M400">
        <v>0</v>
      </c>
      <c r="N400">
        <v>0</v>
      </c>
      <c r="O400">
        <v>1</v>
      </c>
      <c r="P400" t="str">
        <f t="shared" si="69"/>
        <v>72175 1 0 0 1</v>
      </c>
      <c r="R400">
        <v>1</v>
      </c>
      <c r="S400">
        <v>0</v>
      </c>
      <c r="T400">
        <v>0</v>
      </c>
      <c r="U400">
        <v>1</v>
      </c>
      <c r="V400" t="str">
        <f t="shared" si="67"/>
        <v>72175 1 0 0 1</v>
      </c>
    </row>
    <row r="401" spans="3:22">
      <c r="C401">
        <v>8667</v>
      </c>
      <c r="D401">
        <f t="shared" si="70"/>
        <v>72409</v>
      </c>
      <c r="E401" cm="1">
        <f t="array" ref="E401">INDEX(C:C,MATCH(MIN(ABS(C:C-D401)),ABS(C:C-D401),0))</f>
        <v>72406</v>
      </c>
      <c r="G401">
        <f t="shared" si="65"/>
        <v>231</v>
      </c>
      <c r="L401">
        <v>0</v>
      </c>
      <c r="M401">
        <v>1</v>
      </c>
      <c r="N401">
        <v>0</v>
      </c>
      <c r="O401">
        <v>0</v>
      </c>
      <c r="P401" t="str">
        <f t="shared" si="69"/>
        <v>72406 0 1 0 0</v>
      </c>
      <c r="R401">
        <v>0</v>
      </c>
      <c r="S401">
        <v>1</v>
      </c>
      <c r="T401">
        <v>0</v>
      </c>
      <c r="U401">
        <v>0</v>
      </c>
      <c r="V401" t="str">
        <f t="shared" si="67"/>
        <v>72406 0 1 0 0</v>
      </c>
    </row>
    <row r="402" spans="3:22">
      <c r="C402">
        <v>8690</v>
      </c>
      <c r="D402">
        <f t="shared" si="70"/>
        <v>72522</v>
      </c>
      <c r="E402" cm="1">
        <f t="array" ref="E402">INDEX(C:C,MATCH(MIN(ABS(C:C-D402)),ABS(C:C-D402),0))</f>
        <v>72521</v>
      </c>
      <c r="G402">
        <f t="shared" si="65"/>
        <v>115</v>
      </c>
      <c r="L402">
        <v>0</v>
      </c>
      <c r="M402">
        <v>1</v>
      </c>
      <c r="N402">
        <v>0</v>
      </c>
      <c r="O402">
        <v>0</v>
      </c>
      <c r="P402" t="str">
        <f t="shared" si="69"/>
        <v>72521 0 1 0 0</v>
      </c>
      <c r="R402">
        <v>0</v>
      </c>
      <c r="S402">
        <v>1</v>
      </c>
      <c r="T402">
        <v>0</v>
      </c>
      <c r="U402">
        <v>0</v>
      </c>
    </row>
    <row r="403" spans="3:22">
      <c r="C403">
        <v>8713</v>
      </c>
      <c r="D403">
        <f t="shared" si="70"/>
        <v>72629</v>
      </c>
      <c r="E403" cm="1">
        <f t="array" ref="E403">INDEX(C:C,MATCH(MIN(ABS(C:C-D403)),ABS(C:C-D403),0))</f>
        <v>72637</v>
      </c>
      <c r="G403">
        <f t="shared" si="65"/>
        <v>116</v>
      </c>
      <c r="L403">
        <v>0</v>
      </c>
      <c r="M403">
        <v>0</v>
      </c>
      <c r="N403">
        <v>1</v>
      </c>
      <c r="O403">
        <v>0</v>
      </c>
      <c r="P403" t="str">
        <f t="shared" si="69"/>
        <v>72637 0 0 1 0</v>
      </c>
      <c r="R403">
        <v>0</v>
      </c>
      <c r="S403">
        <v>0</v>
      </c>
      <c r="T403">
        <v>1</v>
      </c>
      <c r="U403">
        <v>0</v>
      </c>
      <c r="V403" t="str">
        <f t="shared" si="67"/>
        <v>72637 0 0 1 0</v>
      </c>
    </row>
    <row r="404" spans="3:22">
      <c r="C404">
        <v>8737</v>
      </c>
      <c r="D404">
        <f t="shared" si="70"/>
        <v>72745</v>
      </c>
      <c r="E404" cm="1">
        <f t="array" ref="E404">INDEX(C:C,MATCH(MIN(ABS(C:C-D404)),ABS(C:C-D404),0))</f>
        <v>72752</v>
      </c>
      <c r="G404">
        <f t="shared" si="65"/>
        <v>115</v>
      </c>
      <c r="L404">
        <v>0</v>
      </c>
      <c r="M404">
        <v>1</v>
      </c>
      <c r="N404">
        <v>0</v>
      </c>
      <c r="O404">
        <v>0</v>
      </c>
      <c r="P404" t="str">
        <f t="shared" si="69"/>
        <v>72752 0 1 0 0</v>
      </c>
      <c r="R404">
        <v>0</v>
      </c>
      <c r="S404">
        <v>1</v>
      </c>
      <c r="T404">
        <v>0</v>
      </c>
      <c r="U404">
        <v>0</v>
      </c>
      <c r="V404" t="str">
        <f t="shared" si="67"/>
        <v>72752 0 1 0 0</v>
      </c>
    </row>
    <row r="405" spans="3:22">
      <c r="C405">
        <v>8760</v>
      </c>
      <c r="D405">
        <f t="shared" si="70"/>
        <v>72860</v>
      </c>
      <c r="E405" cm="1">
        <f t="array" ref="E405">INDEX(C:C,MATCH(MIN(ABS(C:C-D405)),ABS(C:C-D405),0))</f>
        <v>72867</v>
      </c>
      <c r="G405">
        <f t="shared" si="65"/>
        <v>115</v>
      </c>
      <c r="L405">
        <v>0</v>
      </c>
      <c r="M405">
        <v>1</v>
      </c>
      <c r="N405">
        <v>0</v>
      </c>
      <c r="O405">
        <v>0</v>
      </c>
      <c r="P405" t="str">
        <f t="shared" si="69"/>
        <v>72867 0 1 0 0</v>
      </c>
      <c r="R405">
        <v>0</v>
      </c>
      <c r="S405">
        <v>1</v>
      </c>
      <c r="T405">
        <v>0</v>
      </c>
      <c r="U405">
        <v>0</v>
      </c>
    </row>
    <row r="406" spans="3:22">
      <c r="C406">
        <v>8783</v>
      </c>
      <c r="D406">
        <f t="shared" si="70"/>
        <v>73091</v>
      </c>
      <c r="E406" cm="1">
        <f t="array" ref="E406">INDEX(C:C,MATCH(MIN(ABS(C:C-D406)),ABS(C:C-D406),0))</f>
        <v>73098</v>
      </c>
      <c r="G406">
        <f t="shared" si="65"/>
        <v>231</v>
      </c>
      <c r="L406">
        <v>0</v>
      </c>
      <c r="M406">
        <v>0</v>
      </c>
      <c r="N406">
        <v>1</v>
      </c>
      <c r="O406">
        <v>0</v>
      </c>
      <c r="P406" t="str">
        <f t="shared" si="69"/>
        <v>73098 0 0 1 0</v>
      </c>
      <c r="R406">
        <v>0</v>
      </c>
      <c r="S406">
        <v>0</v>
      </c>
      <c r="T406">
        <v>1</v>
      </c>
      <c r="U406">
        <v>0</v>
      </c>
      <c r="V406" t="str">
        <f t="shared" si="67"/>
        <v>73098 0 0 1 0</v>
      </c>
    </row>
    <row r="407" spans="3:22">
      <c r="C407">
        <v>8806</v>
      </c>
      <c r="D407">
        <f t="shared" si="70"/>
        <v>73208</v>
      </c>
      <c r="E407" cm="1">
        <f t="array" ref="E407">INDEX(C:C,MATCH(MIN(ABS(C:C-D407)),ABS(C:C-D407),0))</f>
        <v>73213</v>
      </c>
      <c r="G407">
        <f t="shared" si="65"/>
        <v>115</v>
      </c>
      <c r="L407">
        <v>0</v>
      </c>
      <c r="M407">
        <v>1</v>
      </c>
      <c r="N407">
        <v>0</v>
      </c>
      <c r="O407">
        <v>0</v>
      </c>
      <c r="P407" t="str">
        <f t="shared" si="69"/>
        <v>73213 0 1 0 0</v>
      </c>
      <c r="R407">
        <v>0</v>
      </c>
      <c r="S407">
        <v>1</v>
      </c>
      <c r="T407">
        <v>0</v>
      </c>
      <c r="U407">
        <v>0</v>
      </c>
      <c r="V407" t="str">
        <f t="shared" si="67"/>
        <v>73213 0 1 0 0</v>
      </c>
    </row>
    <row r="408" spans="3:22">
      <c r="C408">
        <v>8829</v>
      </c>
      <c r="D408">
        <f t="shared" si="70"/>
        <v>73437</v>
      </c>
      <c r="E408" cm="1">
        <f t="array" ref="E408">INDEX(C:C,MATCH(MIN(ABS(C:C-D408)),ABS(C:C-D408),0))</f>
        <v>73444</v>
      </c>
      <c r="G408">
        <f t="shared" si="65"/>
        <v>231</v>
      </c>
      <c r="L408">
        <v>0</v>
      </c>
      <c r="M408">
        <v>0</v>
      </c>
      <c r="N408">
        <v>1</v>
      </c>
      <c r="O408">
        <v>0</v>
      </c>
      <c r="P408" t="str">
        <f t="shared" si="69"/>
        <v>73444 0 0 1 0</v>
      </c>
      <c r="R408">
        <v>0</v>
      </c>
      <c r="S408">
        <v>0</v>
      </c>
      <c r="T408">
        <v>1</v>
      </c>
      <c r="U408">
        <v>0</v>
      </c>
      <c r="V408" t="str">
        <f t="shared" si="67"/>
        <v>73444 0 0 1 0</v>
      </c>
    </row>
    <row r="409" spans="3:22">
      <c r="C409">
        <v>8852</v>
      </c>
      <c r="D409">
        <f t="shared" si="70"/>
        <v>73555</v>
      </c>
      <c r="E409" cm="1">
        <f t="array" ref="E409">INDEX(C:C,MATCH(MIN(ABS(C:C-D409)),ABS(C:C-D409),0))</f>
        <v>73560</v>
      </c>
      <c r="G409">
        <f t="shared" si="65"/>
        <v>116</v>
      </c>
      <c r="L409">
        <v>0</v>
      </c>
      <c r="M409">
        <v>1</v>
      </c>
      <c r="N409">
        <v>0</v>
      </c>
      <c r="O409">
        <v>0</v>
      </c>
      <c r="P409" t="str">
        <f t="shared" si="69"/>
        <v>73560 0 1 0 0</v>
      </c>
      <c r="R409">
        <v>0</v>
      </c>
      <c r="S409">
        <v>1</v>
      </c>
      <c r="T409">
        <v>0</v>
      </c>
      <c r="U409">
        <v>0</v>
      </c>
      <c r="V409" t="str">
        <f t="shared" ref="V409:V440" si="71">E409&amp;" "&amp;R409&amp;" "&amp;S409&amp;" "&amp;T409&amp;" "&amp;U409</f>
        <v>73560 0 1 0 0</v>
      </c>
    </row>
    <row r="410" spans="3:22">
      <c r="C410">
        <v>8875</v>
      </c>
      <c r="D410">
        <f t="shared" si="70"/>
        <v>73792</v>
      </c>
      <c r="E410" cm="1">
        <f t="array" ref="E410">INDEX(C:C,MATCH(MIN(ABS(C:C-D410)),ABS(C:C-D410),0))</f>
        <v>73790</v>
      </c>
      <c r="G410">
        <f t="shared" si="65"/>
        <v>230</v>
      </c>
      <c r="L410">
        <v>0</v>
      </c>
      <c r="M410">
        <v>0</v>
      </c>
      <c r="N410">
        <v>0</v>
      </c>
      <c r="O410">
        <v>1</v>
      </c>
      <c r="P410" t="str">
        <f t="shared" si="69"/>
        <v>73790 0 0 0 1</v>
      </c>
      <c r="R410">
        <v>0</v>
      </c>
      <c r="S410">
        <v>0</v>
      </c>
      <c r="T410">
        <v>0</v>
      </c>
      <c r="U410">
        <v>1</v>
      </c>
      <c r="V410" t="str">
        <f t="shared" si="71"/>
        <v>73790 0 0 0 1</v>
      </c>
    </row>
    <row r="411" spans="3:22">
      <c r="C411">
        <v>8898</v>
      </c>
      <c r="D411">
        <f t="shared" si="70"/>
        <v>74019</v>
      </c>
      <c r="E411" cm="1">
        <f t="array" ref="E411">INDEX(C:C,MATCH(MIN(ABS(C:C-D411)),ABS(C:C-D411),0))</f>
        <v>74021</v>
      </c>
      <c r="G411">
        <f t="shared" si="65"/>
        <v>231</v>
      </c>
      <c r="L411">
        <v>0</v>
      </c>
      <c r="M411">
        <v>0</v>
      </c>
      <c r="N411">
        <v>0</v>
      </c>
      <c r="O411">
        <v>1</v>
      </c>
      <c r="P411" t="str">
        <f t="shared" si="69"/>
        <v>74021 0 0 0 1</v>
      </c>
      <c r="R411">
        <v>0</v>
      </c>
      <c r="S411">
        <v>0</v>
      </c>
      <c r="T411">
        <v>0</v>
      </c>
      <c r="U411">
        <v>1</v>
      </c>
      <c r="V411" t="str">
        <f t="shared" si="71"/>
        <v>74021 0 0 0 1</v>
      </c>
    </row>
    <row r="412" spans="3:22">
      <c r="C412">
        <v>8921</v>
      </c>
      <c r="D412">
        <f t="shared" si="70"/>
        <v>74255</v>
      </c>
      <c r="E412" cm="1">
        <f t="array" ref="E412">INDEX(C:C,MATCH(MIN(ABS(C:C-D412)),ABS(C:C-D412),0))</f>
        <v>74252</v>
      </c>
      <c r="G412">
        <f t="shared" si="65"/>
        <v>231</v>
      </c>
      <c r="L412">
        <v>0</v>
      </c>
      <c r="M412">
        <v>0</v>
      </c>
      <c r="N412">
        <v>1</v>
      </c>
      <c r="O412">
        <v>0</v>
      </c>
      <c r="P412" t="str">
        <f t="shared" si="69"/>
        <v>74252 0 0 1 0</v>
      </c>
      <c r="R412">
        <v>0</v>
      </c>
      <c r="S412">
        <v>0</v>
      </c>
      <c r="T412">
        <v>1</v>
      </c>
      <c r="U412">
        <v>0</v>
      </c>
      <c r="V412" t="str">
        <f t="shared" si="71"/>
        <v>74252 0 0 1 0</v>
      </c>
    </row>
    <row r="413" spans="3:22">
      <c r="C413">
        <v>8944</v>
      </c>
      <c r="D413">
        <f t="shared" si="70"/>
        <v>74368</v>
      </c>
      <c r="E413" cm="1">
        <f t="array" ref="E413">INDEX(C:C,MATCH(MIN(ABS(C:C-D413)),ABS(C:C-D413),0))</f>
        <v>74367</v>
      </c>
      <c r="G413">
        <f t="shared" si="65"/>
        <v>115</v>
      </c>
      <c r="L413">
        <v>0</v>
      </c>
      <c r="M413">
        <v>0</v>
      </c>
      <c r="N413">
        <v>1</v>
      </c>
      <c r="O413">
        <v>0</v>
      </c>
      <c r="P413" t="str">
        <f t="shared" si="69"/>
        <v>74367 0 0 1 0</v>
      </c>
      <c r="R413">
        <v>0</v>
      </c>
      <c r="S413">
        <v>0</v>
      </c>
      <c r="T413">
        <v>1</v>
      </c>
      <c r="U413">
        <v>0</v>
      </c>
    </row>
    <row r="414" spans="3:22">
      <c r="C414">
        <v>8967</v>
      </c>
      <c r="D414">
        <f t="shared" si="70"/>
        <v>74475</v>
      </c>
      <c r="E414" cm="1">
        <f t="array" ref="E414">INDEX(C:C,MATCH(MIN(ABS(C:C-D414)),ABS(C:C-D414),0))</f>
        <v>74483</v>
      </c>
      <c r="G414">
        <f t="shared" si="65"/>
        <v>116</v>
      </c>
      <c r="L414">
        <v>0</v>
      </c>
      <c r="M414">
        <v>1</v>
      </c>
      <c r="N414">
        <v>0</v>
      </c>
      <c r="O414">
        <v>0</v>
      </c>
      <c r="P414" t="str">
        <f t="shared" si="69"/>
        <v>74483 0 1 0 0</v>
      </c>
      <c r="R414">
        <v>0</v>
      </c>
      <c r="S414">
        <v>1</v>
      </c>
      <c r="T414">
        <v>0</v>
      </c>
      <c r="U414">
        <v>0</v>
      </c>
      <c r="V414" t="str">
        <f t="shared" si="71"/>
        <v>74483 0 1 0 0</v>
      </c>
    </row>
    <row r="415" spans="3:22">
      <c r="C415">
        <v>8990</v>
      </c>
      <c r="D415">
        <f t="shared" si="70"/>
        <v>74591</v>
      </c>
      <c r="E415" cm="1">
        <f t="array" ref="E415">INDEX(C:C,MATCH(MIN(ABS(C:C-D415)),ABS(C:C-D415),0))</f>
        <v>74598</v>
      </c>
      <c r="G415">
        <f t="shared" si="65"/>
        <v>115</v>
      </c>
      <c r="L415">
        <v>0</v>
      </c>
      <c r="M415">
        <v>0</v>
      </c>
      <c r="N415">
        <v>1</v>
      </c>
      <c r="O415">
        <v>0</v>
      </c>
      <c r="P415" t="str">
        <f t="shared" si="69"/>
        <v>74598 0 0 1 0</v>
      </c>
      <c r="R415">
        <v>0</v>
      </c>
      <c r="S415">
        <v>0</v>
      </c>
      <c r="T415">
        <v>1</v>
      </c>
      <c r="U415">
        <v>0</v>
      </c>
      <c r="V415" t="str">
        <f t="shared" si="71"/>
        <v>74598 0 0 1 0</v>
      </c>
    </row>
    <row r="416" spans="3:22">
      <c r="C416">
        <v>9013</v>
      </c>
      <c r="D416">
        <f t="shared" si="70"/>
        <v>74706</v>
      </c>
      <c r="E416" cm="1">
        <f t="array" ref="E416">INDEX(C:C,MATCH(MIN(ABS(C:C-D416)),ABS(C:C-D416),0))</f>
        <v>74713</v>
      </c>
      <c r="G416">
        <f t="shared" si="65"/>
        <v>115</v>
      </c>
      <c r="L416">
        <v>0</v>
      </c>
      <c r="M416">
        <v>0</v>
      </c>
      <c r="N416">
        <v>1</v>
      </c>
      <c r="O416">
        <v>0</v>
      </c>
      <c r="P416" t="str">
        <f t="shared" si="69"/>
        <v>74713 0 0 1 0</v>
      </c>
      <c r="R416">
        <v>0</v>
      </c>
      <c r="S416">
        <v>0</v>
      </c>
      <c r="T416">
        <v>1</v>
      </c>
      <c r="U416">
        <v>0</v>
      </c>
    </row>
    <row r="417" spans="3:22">
      <c r="C417">
        <v>9037</v>
      </c>
      <c r="D417">
        <f t="shared" si="70"/>
        <v>74937</v>
      </c>
      <c r="E417" cm="1">
        <f t="array" ref="E417">INDEX(C:C,MATCH(MIN(ABS(C:C-D417)),ABS(C:C-D417),0))</f>
        <v>74944</v>
      </c>
      <c r="G417">
        <f t="shared" si="65"/>
        <v>231</v>
      </c>
      <c r="L417">
        <v>0</v>
      </c>
      <c r="M417">
        <v>1</v>
      </c>
      <c r="N417">
        <v>0</v>
      </c>
      <c r="O417">
        <v>0</v>
      </c>
      <c r="P417" t="str">
        <f t="shared" ref="P417:P448" si="72">E417&amp;" "&amp;L417&amp;" "&amp;M417&amp;" "&amp;N417&amp;" "&amp;O417</f>
        <v>74944 0 1 0 0</v>
      </c>
      <c r="R417">
        <v>0</v>
      </c>
      <c r="S417">
        <v>1</v>
      </c>
      <c r="T417">
        <v>0</v>
      </c>
      <c r="U417">
        <v>0</v>
      </c>
      <c r="V417" t="str">
        <f t="shared" si="71"/>
        <v>74944 0 1 0 0</v>
      </c>
    </row>
    <row r="418" spans="3:22">
      <c r="C418">
        <v>9060</v>
      </c>
      <c r="D418">
        <f t="shared" si="70"/>
        <v>75054</v>
      </c>
      <c r="E418" cm="1">
        <f t="array" ref="E418">INDEX(C:C,MATCH(MIN(ABS(C:C-D418)),ABS(C:C-D418),0))</f>
        <v>75060</v>
      </c>
      <c r="G418">
        <f t="shared" si="65"/>
        <v>116</v>
      </c>
      <c r="L418">
        <v>0</v>
      </c>
      <c r="M418">
        <v>0</v>
      </c>
      <c r="N418">
        <v>1</v>
      </c>
      <c r="O418">
        <v>0</v>
      </c>
      <c r="P418" t="str">
        <f t="shared" si="72"/>
        <v>75060 0 0 1 0</v>
      </c>
      <c r="R418">
        <v>0</v>
      </c>
      <c r="S418">
        <v>0</v>
      </c>
      <c r="T418">
        <v>1</v>
      </c>
      <c r="U418">
        <v>0</v>
      </c>
      <c r="V418" t="str">
        <f t="shared" si="71"/>
        <v>75060 0 0 1 0</v>
      </c>
    </row>
    <row r="419" spans="3:22">
      <c r="C419">
        <v>9083</v>
      </c>
      <c r="D419">
        <f t="shared" si="70"/>
        <v>75283</v>
      </c>
      <c r="E419" cm="1">
        <f t="array" ref="E419">INDEX(C:C,MATCH(MIN(ABS(C:C-D419)),ABS(C:C-D419),0))</f>
        <v>75290</v>
      </c>
      <c r="G419">
        <f t="shared" si="65"/>
        <v>230</v>
      </c>
      <c r="L419">
        <v>0</v>
      </c>
      <c r="M419">
        <v>1</v>
      </c>
      <c r="N419">
        <v>0</v>
      </c>
      <c r="O419">
        <v>0</v>
      </c>
      <c r="P419" t="str">
        <f t="shared" si="72"/>
        <v>75290 0 1 0 0</v>
      </c>
      <c r="R419">
        <v>0</v>
      </c>
      <c r="S419">
        <v>1</v>
      </c>
      <c r="T419">
        <v>0</v>
      </c>
      <c r="U419">
        <v>0</v>
      </c>
      <c r="V419" t="str">
        <f t="shared" si="71"/>
        <v>75290 0 1 0 0</v>
      </c>
    </row>
    <row r="420" spans="3:22">
      <c r="C420">
        <v>9106</v>
      </c>
      <c r="D420">
        <f t="shared" si="70"/>
        <v>75401</v>
      </c>
      <c r="E420" cm="1">
        <f t="array" ref="E420">INDEX(C:C,MATCH(MIN(ABS(C:C-D420)),ABS(C:C-D420),0))</f>
        <v>75406</v>
      </c>
      <c r="G420">
        <f t="shared" si="65"/>
        <v>116</v>
      </c>
      <c r="L420">
        <v>0</v>
      </c>
      <c r="M420">
        <v>0</v>
      </c>
      <c r="N420">
        <v>1</v>
      </c>
      <c r="O420">
        <v>0</v>
      </c>
      <c r="P420" t="str">
        <f t="shared" si="72"/>
        <v>75406 0 0 1 0</v>
      </c>
      <c r="R420">
        <v>0</v>
      </c>
      <c r="S420">
        <v>0</v>
      </c>
      <c r="T420">
        <v>1</v>
      </c>
      <c r="U420">
        <v>0</v>
      </c>
      <c r="V420" t="str">
        <f t="shared" si="71"/>
        <v>75406 0 0 1 0</v>
      </c>
    </row>
    <row r="421" spans="3:22">
      <c r="C421">
        <v>9129</v>
      </c>
      <c r="D421">
        <f t="shared" si="70"/>
        <v>75638</v>
      </c>
      <c r="E421" cm="1">
        <f t="array" ref="E421">INDEX(C:C,MATCH(MIN(ABS(C:C-D421)),ABS(C:C-D421),0))</f>
        <v>75637</v>
      </c>
      <c r="G421">
        <f t="shared" si="65"/>
        <v>231</v>
      </c>
      <c r="L421">
        <v>1</v>
      </c>
      <c r="M421">
        <v>0</v>
      </c>
      <c r="N421">
        <v>0</v>
      </c>
      <c r="O421">
        <v>0</v>
      </c>
      <c r="P421" t="str">
        <f t="shared" si="72"/>
        <v>75637 1 0 0 0</v>
      </c>
      <c r="R421">
        <v>1</v>
      </c>
      <c r="S421">
        <v>0</v>
      </c>
      <c r="T421">
        <v>0</v>
      </c>
      <c r="U421">
        <v>0</v>
      </c>
      <c r="V421" t="str">
        <f t="shared" si="71"/>
        <v>75637 1 0 0 0</v>
      </c>
    </row>
    <row r="422" spans="3:22">
      <c r="C422">
        <v>9152</v>
      </c>
      <c r="D422">
        <f t="shared" si="70"/>
        <v>75865</v>
      </c>
      <c r="E422" cm="1">
        <f t="array" ref="E422">INDEX(C:C,MATCH(MIN(ABS(C:C-D422)),ABS(C:C-D422),0))</f>
        <v>75867</v>
      </c>
      <c r="G422">
        <f t="shared" si="65"/>
        <v>230</v>
      </c>
      <c r="L422">
        <v>1</v>
      </c>
      <c r="M422">
        <v>0</v>
      </c>
      <c r="N422">
        <v>0</v>
      </c>
      <c r="O422">
        <v>1</v>
      </c>
      <c r="P422" t="str">
        <f t="shared" si="72"/>
        <v>75867 1 0 0 1</v>
      </c>
      <c r="R422">
        <v>1</v>
      </c>
      <c r="S422">
        <v>0</v>
      </c>
      <c r="T422">
        <v>0</v>
      </c>
      <c r="U422">
        <v>1</v>
      </c>
      <c r="V422" t="str">
        <f t="shared" si="71"/>
        <v>75867 1 0 0 1</v>
      </c>
    </row>
    <row r="423" spans="3:22">
      <c r="C423">
        <v>9175</v>
      </c>
      <c r="D423">
        <f t="shared" si="70"/>
        <v>76101</v>
      </c>
      <c r="E423" cm="1">
        <f t="array" ref="E423">INDEX(C:C,MATCH(MIN(ABS(C:C-D423)),ABS(C:C-D423),0))</f>
        <v>76098</v>
      </c>
      <c r="G423">
        <f t="shared" si="65"/>
        <v>231</v>
      </c>
      <c r="L423">
        <v>0</v>
      </c>
      <c r="M423">
        <v>1</v>
      </c>
      <c r="N423">
        <v>0</v>
      </c>
      <c r="O423">
        <v>0</v>
      </c>
      <c r="P423" t="str">
        <f t="shared" si="72"/>
        <v>76098 0 1 0 0</v>
      </c>
      <c r="R423">
        <v>0</v>
      </c>
      <c r="S423">
        <v>1</v>
      </c>
      <c r="T423">
        <v>0</v>
      </c>
      <c r="U423">
        <v>0</v>
      </c>
      <c r="V423" t="str">
        <f t="shared" si="71"/>
        <v>76098 0 1 0 0</v>
      </c>
    </row>
    <row r="424" spans="3:22">
      <c r="C424">
        <v>9198</v>
      </c>
      <c r="D424">
        <f t="shared" si="70"/>
        <v>76214</v>
      </c>
      <c r="E424" cm="1">
        <f t="array" ref="E424">INDEX(C:C,MATCH(MIN(ABS(C:C-D424)),ABS(C:C-D424),0))</f>
        <v>76213</v>
      </c>
      <c r="G424">
        <f t="shared" si="65"/>
        <v>115</v>
      </c>
      <c r="L424">
        <v>0</v>
      </c>
      <c r="M424">
        <v>1</v>
      </c>
      <c r="N424">
        <v>0</v>
      </c>
      <c r="O424">
        <v>0</v>
      </c>
      <c r="P424" t="str">
        <f t="shared" si="72"/>
        <v>76213 0 1 0 0</v>
      </c>
      <c r="R424">
        <v>0</v>
      </c>
      <c r="S424">
        <v>1</v>
      </c>
      <c r="T424">
        <v>0</v>
      </c>
      <c r="U424">
        <v>0</v>
      </c>
    </row>
    <row r="425" spans="3:22">
      <c r="C425">
        <v>9221</v>
      </c>
      <c r="D425">
        <f t="shared" si="70"/>
        <v>76321</v>
      </c>
      <c r="E425" cm="1">
        <f t="array" ref="E425">INDEX(C:C,MATCH(MIN(ABS(C:C-D425)),ABS(C:C-D425),0))</f>
        <v>76329</v>
      </c>
      <c r="G425">
        <f t="shared" ref="G425:G488" si="73">E425-E424</f>
        <v>116</v>
      </c>
      <c r="L425">
        <v>0</v>
      </c>
      <c r="M425">
        <v>0</v>
      </c>
      <c r="N425">
        <v>1</v>
      </c>
      <c r="O425">
        <v>0</v>
      </c>
      <c r="P425" t="str">
        <f t="shared" si="72"/>
        <v>76329 0 0 1 0</v>
      </c>
      <c r="R425">
        <v>0</v>
      </c>
      <c r="S425">
        <v>0</v>
      </c>
      <c r="T425">
        <v>1</v>
      </c>
      <c r="U425">
        <v>0</v>
      </c>
      <c r="V425" t="str">
        <f t="shared" si="71"/>
        <v>76329 0 0 1 0</v>
      </c>
    </row>
    <row r="426" spans="3:22">
      <c r="C426">
        <v>9244</v>
      </c>
      <c r="D426">
        <f t="shared" si="70"/>
        <v>76437</v>
      </c>
      <c r="E426" cm="1">
        <f t="array" ref="E426">INDEX(C:C,MATCH(MIN(ABS(C:C-D426)),ABS(C:C-D426),0))</f>
        <v>76444</v>
      </c>
      <c r="G426">
        <f t="shared" si="73"/>
        <v>115</v>
      </c>
      <c r="L426">
        <v>0</v>
      </c>
      <c r="M426">
        <v>1</v>
      </c>
      <c r="N426">
        <v>0</v>
      </c>
      <c r="O426">
        <v>0</v>
      </c>
      <c r="P426" t="str">
        <f t="shared" si="72"/>
        <v>76444 0 1 0 0</v>
      </c>
      <c r="R426">
        <v>0</v>
      </c>
      <c r="S426">
        <v>1</v>
      </c>
      <c r="T426">
        <v>0</v>
      </c>
      <c r="U426">
        <v>0</v>
      </c>
      <c r="V426" t="str">
        <f t="shared" si="71"/>
        <v>76444 0 1 0 0</v>
      </c>
    </row>
    <row r="427" spans="3:22">
      <c r="C427">
        <v>9267</v>
      </c>
      <c r="D427">
        <f t="shared" si="70"/>
        <v>76552</v>
      </c>
      <c r="E427" cm="1">
        <f t="array" ref="E427">INDEX(C:C,MATCH(MIN(ABS(C:C-D427)),ABS(C:C-D427),0))</f>
        <v>76560</v>
      </c>
      <c r="G427">
        <f t="shared" si="73"/>
        <v>116</v>
      </c>
      <c r="L427">
        <v>0</v>
      </c>
      <c r="M427">
        <v>1</v>
      </c>
      <c r="N427">
        <v>0</v>
      </c>
      <c r="O427">
        <v>0</v>
      </c>
      <c r="P427" t="str">
        <f t="shared" si="72"/>
        <v>76560 0 1 0 0</v>
      </c>
      <c r="R427">
        <v>0</v>
      </c>
      <c r="S427">
        <v>1</v>
      </c>
      <c r="T427">
        <v>0</v>
      </c>
      <c r="U427">
        <v>0</v>
      </c>
    </row>
    <row r="428" spans="3:22">
      <c r="C428">
        <v>9290</v>
      </c>
      <c r="D428">
        <f t="shared" si="70"/>
        <v>76783</v>
      </c>
      <c r="E428" cm="1">
        <f t="array" ref="E428">INDEX(C:C,MATCH(MIN(ABS(C:C-D428)),ABS(C:C-D428),0))</f>
        <v>76790</v>
      </c>
      <c r="G428">
        <f t="shared" si="73"/>
        <v>230</v>
      </c>
      <c r="L428">
        <v>0</v>
      </c>
      <c r="M428">
        <v>0</v>
      </c>
      <c r="N428">
        <v>1</v>
      </c>
      <c r="O428">
        <v>0</v>
      </c>
      <c r="P428" t="str">
        <f t="shared" si="72"/>
        <v>76790 0 0 1 0</v>
      </c>
      <c r="R428">
        <v>0</v>
      </c>
      <c r="S428">
        <v>0</v>
      </c>
      <c r="T428">
        <v>1</v>
      </c>
      <c r="U428">
        <v>0</v>
      </c>
      <c r="V428" t="str">
        <f t="shared" si="71"/>
        <v>76790 0 0 1 0</v>
      </c>
    </row>
    <row r="429" spans="3:22">
      <c r="C429">
        <v>9313</v>
      </c>
      <c r="D429">
        <f t="shared" si="70"/>
        <v>76900</v>
      </c>
      <c r="E429" cm="1">
        <f t="array" ref="E429">INDEX(C:C,MATCH(MIN(ABS(C:C-D429)),ABS(C:C-D429),0))</f>
        <v>76906</v>
      </c>
      <c r="G429">
        <f t="shared" si="73"/>
        <v>116</v>
      </c>
      <c r="L429">
        <v>0</v>
      </c>
      <c r="M429">
        <v>0</v>
      </c>
      <c r="N429">
        <v>1</v>
      </c>
      <c r="O429">
        <v>0</v>
      </c>
      <c r="P429" t="str">
        <f t="shared" si="72"/>
        <v>76906 0 0 1 0</v>
      </c>
      <c r="R429">
        <v>0</v>
      </c>
      <c r="S429">
        <v>0</v>
      </c>
      <c r="T429">
        <v>1</v>
      </c>
      <c r="U429">
        <v>0</v>
      </c>
    </row>
    <row r="430" spans="3:22">
      <c r="C430">
        <v>9337</v>
      </c>
      <c r="D430">
        <f t="shared" si="70"/>
        <v>77013</v>
      </c>
      <c r="E430" cm="1">
        <f t="array" ref="E430">INDEX(C:C,MATCH(MIN(ABS(C:C-D430)),ABS(C:C-D430),0))</f>
        <v>77021</v>
      </c>
      <c r="G430">
        <f t="shared" si="73"/>
        <v>115</v>
      </c>
      <c r="L430">
        <v>0</v>
      </c>
      <c r="M430">
        <v>0</v>
      </c>
      <c r="N430">
        <v>1</v>
      </c>
      <c r="O430">
        <v>0</v>
      </c>
      <c r="P430" t="str">
        <f t="shared" si="72"/>
        <v>77021 0 0 1 0</v>
      </c>
      <c r="R430">
        <v>0</v>
      </c>
      <c r="S430">
        <v>0</v>
      </c>
      <c r="T430">
        <v>1</v>
      </c>
      <c r="U430">
        <v>0</v>
      </c>
      <c r="V430" t="str">
        <f t="shared" si="71"/>
        <v>77021 0 0 1 0</v>
      </c>
    </row>
    <row r="431" spans="3:22">
      <c r="C431">
        <v>9360</v>
      </c>
      <c r="D431">
        <f t="shared" si="70"/>
        <v>77132</v>
      </c>
      <c r="E431" cm="1">
        <f t="array" ref="E431">INDEX(C:C,MATCH(MIN(ABS(C:C-D431)),ABS(C:C-D431),0))</f>
        <v>77137</v>
      </c>
      <c r="G431">
        <f t="shared" si="73"/>
        <v>116</v>
      </c>
      <c r="L431">
        <v>0</v>
      </c>
      <c r="M431">
        <v>0</v>
      </c>
      <c r="N431">
        <v>1</v>
      </c>
      <c r="O431">
        <v>0</v>
      </c>
      <c r="P431" t="str">
        <f t="shared" si="72"/>
        <v>77137 0 0 1 0</v>
      </c>
      <c r="R431">
        <v>0</v>
      </c>
      <c r="S431">
        <v>0</v>
      </c>
      <c r="T431">
        <v>1</v>
      </c>
      <c r="U431">
        <v>0</v>
      </c>
    </row>
    <row r="432" spans="3:22">
      <c r="C432">
        <v>9383</v>
      </c>
      <c r="D432">
        <f t="shared" si="70"/>
        <v>77251</v>
      </c>
      <c r="E432" cm="1">
        <f t="array" ref="E432">INDEX(C:C,MATCH(MIN(ABS(C:C-D432)),ABS(C:C-D432),0))</f>
        <v>77252</v>
      </c>
      <c r="G432">
        <f t="shared" si="73"/>
        <v>115</v>
      </c>
      <c r="L432">
        <v>0</v>
      </c>
      <c r="M432">
        <v>1</v>
      </c>
      <c r="N432">
        <v>0</v>
      </c>
      <c r="O432">
        <v>0</v>
      </c>
      <c r="P432" t="str">
        <f t="shared" si="72"/>
        <v>77252 0 1 0 0</v>
      </c>
      <c r="R432">
        <v>0</v>
      </c>
      <c r="S432">
        <v>1</v>
      </c>
      <c r="T432">
        <v>0</v>
      </c>
      <c r="U432">
        <v>0</v>
      </c>
      <c r="V432" t="str">
        <f t="shared" si="71"/>
        <v>77252 0 1 0 0</v>
      </c>
    </row>
    <row r="433" spans="1:22">
      <c r="C433">
        <v>9406</v>
      </c>
      <c r="D433">
        <f t="shared" si="70"/>
        <v>77479</v>
      </c>
      <c r="E433" cm="1">
        <f t="array" ref="E433">INDEX(C:C,MATCH(MIN(ABS(C:C-D433)),ABS(C:C-D433),0))</f>
        <v>77483</v>
      </c>
      <c r="G433">
        <f t="shared" si="73"/>
        <v>231</v>
      </c>
      <c r="L433">
        <v>0</v>
      </c>
      <c r="M433">
        <v>0</v>
      </c>
      <c r="N433">
        <v>0</v>
      </c>
      <c r="O433">
        <v>1</v>
      </c>
      <c r="P433" t="str">
        <f t="shared" si="72"/>
        <v>77483 0 0 0 1</v>
      </c>
      <c r="R433">
        <v>0</v>
      </c>
      <c r="S433">
        <v>0</v>
      </c>
      <c r="T433">
        <v>0</v>
      </c>
      <c r="U433">
        <v>1</v>
      </c>
      <c r="V433" t="str">
        <f t="shared" si="71"/>
        <v>77483 0 0 0 1</v>
      </c>
    </row>
    <row r="434" spans="1:22">
      <c r="A434" t="s">
        <v>97</v>
      </c>
      <c r="C434">
        <v>9429</v>
      </c>
      <c r="D434">
        <f>ROUND(D344+6000/26*64,0)</f>
        <v>77711</v>
      </c>
      <c r="E434" cm="1">
        <f t="array" ref="E434">INDEX(C:C,MATCH(MIN(ABS(C:C-D434)),ABS(C:C-D434),0))</f>
        <v>77713</v>
      </c>
      <c r="G434">
        <f t="shared" si="73"/>
        <v>230</v>
      </c>
      <c r="L434">
        <v>1</v>
      </c>
      <c r="M434">
        <v>0</v>
      </c>
      <c r="N434">
        <v>0</v>
      </c>
      <c r="O434">
        <v>0</v>
      </c>
      <c r="P434" t="str">
        <f t="shared" si="72"/>
        <v>77713 1 0 0 0</v>
      </c>
      <c r="R434">
        <v>1</v>
      </c>
      <c r="S434">
        <v>0</v>
      </c>
      <c r="T434">
        <v>0</v>
      </c>
      <c r="U434">
        <v>0</v>
      </c>
      <c r="V434" t="str">
        <f t="shared" si="71"/>
        <v>77713 1 0 0 0</v>
      </c>
    </row>
    <row r="435" spans="1:22">
      <c r="C435">
        <v>9452</v>
      </c>
      <c r="D435">
        <f t="shared" ref="D435:D478" si="74">ROUND(D345+6000/26*64,0)</f>
        <v>77947</v>
      </c>
      <c r="E435" cm="1">
        <f t="array" ref="E435">INDEX(C:C,MATCH(MIN(ABS(C:C-D435)),ABS(C:C-D435),0))</f>
        <v>77944</v>
      </c>
      <c r="G435">
        <f t="shared" si="73"/>
        <v>231</v>
      </c>
      <c r="L435">
        <v>0</v>
      </c>
      <c r="M435">
        <v>1</v>
      </c>
      <c r="N435">
        <v>0</v>
      </c>
      <c r="O435">
        <v>0</v>
      </c>
      <c r="P435" t="str">
        <f t="shared" si="72"/>
        <v>77944 0 1 0 0</v>
      </c>
      <c r="R435">
        <v>0</v>
      </c>
      <c r="S435">
        <v>1</v>
      </c>
      <c r="T435">
        <v>0</v>
      </c>
      <c r="U435">
        <v>0</v>
      </c>
      <c r="V435" t="str">
        <f t="shared" si="71"/>
        <v>77944 0 1 0 0</v>
      </c>
    </row>
    <row r="436" spans="1:22">
      <c r="C436">
        <v>9475</v>
      </c>
      <c r="D436">
        <f t="shared" si="74"/>
        <v>78060</v>
      </c>
      <c r="E436" cm="1">
        <f t="array" ref="E436">INDEX(C:C,MATCH(MIN(ABS(C:C-D436)),ABS(C:C-D436),0))</f>
        <v>78060</v>
      </c>
      <c r="G436">
        <f t="shared" si="73"/>
        <v>116</v>
      </c>
      <c r="L436">
        <v>0</v>
      </c>
      <c r="M436">
        <v>1</v>
      </c>
      <c r="N436">
        <v>0</v>
      </c>
      <c r="O436">
        <v>0</v>
      </c>
      <c r="P436" t="str">
        <f t="shared" si="72"/>
        <v>78060 0 1 0 0</v>
      </c>
      <c r="R436">
        <v>0</v>
      </c>
      <c r="S436">
        <v>1</v>
      </c>
      <c r="T436">
        <v>0</v>
      </c>
      <c r="U436">
        <v>0</v>
      </c>
    </row>
    <row r="437" spans="1:22">
      <c r="C437">
        <v>9498</v>
      </c>
      <c r="D437">
        <f t="shared" si="74"/>
        <v>78167</v>
      </c>
      <c r="E437" cm="1">
        <f t="array" ref="E437">INDEX(C:C,MATCH(MIN(ABS(C:C-D437)),ABS(C:C-D437),0))</f>
        <v>78175</v>
      </c>
      <c r="G437">
        <f t="shared" si="73"/>
        <v>115</v>
      </c>
      <c r="L437">
        <v>0</v>
      </c>
      <c r="M437">
        <v>0</v>
      </c>
      <c r="N437">
        <v>1</v>
      </c>
      <c r="O437">
        <v>0</v>
      </c>
      <c r="P437" t="str">
        <f t="shared" si="72"/>
        <v>78175 0 0 1 0</v>
      </c>
      <c r="R437">
        <v>0</v>
      </c>
      <c r="S437">
        <v>0</v>
      </c>
      <c r="T437">
        <v>1</v>
      </c>
      <c r="U437">
        <v>0</v>
      </c>
      <c r="V437" t="str">
        <f t="shared" si="71"/>
        <v>78175 0 0 1 0</v>
      </c>
    </row>
    <row r="438" spans="1:22">
      <c r="C438">
        <v>9521</v>
      </c>
      <c r="D438">
        <f t="shared" si="74"/>
        <v>78283</v>
      </c>
      <c r="E438" cm="1">
        <f t="array" ref="E438">INDEX(C:C,MATCH(MIN(ABS(C:C-D438)),ABS(C:C-D438),0))</f>
        <v>78290</v>
      </c>
      <c r="G438">
        <f t="shared" si="73"/>
        <v>115</v>
      </c>
      <c r="L438">
        <v>0</v>
      </c>
      <c r="M438">
        <v>1</v>
      </c>
      <c r="N438">
        <v>0</v>
      </c>
      <c r="O438">
        <v>0</v>
      </c>
      <c r="P438" t="str">
        <f t="shared" si="72"/>
        <v>78290 0 1 0 0</v>
      </c>
      <c r="R438">
        <v>0</v>
      </c>
      <c r="S438">
        <v>1</v>
      </c>
      <c r="T438">
        <v>0</v>
      </c>
      <c r="U438">
        <v>0</v>
      </c>
      <c r="V438" t="str">
        <f t="shared" si="71"/>
        <v>78290 0 1 0 0</v>
      </c>
    </row>
    <row r="439" spans="1:22">
      <c r="C439">
        <v>9544</v>
      </c>
      <c r="D439">
        <f t="shared" si="74"/>
        <v>78398</v>
      </c>
      <c r="E439" cm="1">
        <f t="array" ref="E439">INDEX(C:C,MATCH(MIN(ABS(C:C-D439)),ABS(C:C-D439),0))</f>
        <v>78406</v>
      </c>
      <c r="G439">
        <f t="shared" si="73"/>
        <v>116</v>
      </c>
      <c r="L439">
        <v>0</v>
      </c>
      <c r="M439">
        <v>1</v>
      </c>
      <c r="N439">
        <v>0</v>
      </c>
      <c r="O439">
        <v>0</v>
      </c>
      <c r="P439" t="str">
        <f t="shared" si="72"/>
        <v>78406 0 1 0 0</v>
      </c>
      <c r="R439">
        <v>0</v>
      </c>
      <c r="S439">
        <v>1</v>
      </c>
      <c r="T439">
        <v>0</v>
      </c>
      <c r="U439">
        <v>0</v>
      </c>
    </row>
    <row r="440" spans="1:22">
      <c r="C440">
        <v>9567</v>
      </c>
      <c r="D440">
        <f t="shared" si="74"/>
        <v>78629</v>
      </c>
      <c r="E440" cm="1">
        <f t="array" ref="E440">INDEX(C:C,MATCH(MIN(ABS(C:C-D440)),ABS(C:C-D440),0))</f>
        <v>78637</v>
      </c>
      <c r="G440">
        <f t="shared" si="73"/>
        <v>231</v>
      </c>
      <c r="L440">
        <v>0</v>
      </c>
      <c r="M440">
        <v>0</v>
      </c>
      <c r="N440">
        <v>1</v>
      </c>
      <c r="O440">
        <v>0</v>
      </c>
      <c r="P440" t="str">
        <f t="shared" si="72"/>
        <v>78637 0 0 1 0</v>
      </c>
      <c r="R440">
        <v>0</v>
      </c>
      <c r="S440">
        <v>0</v>
      </c>
      <c r="T440">
        <v>1</v>
      </c>
      <c r="U440">
        <v>0</v>
      </c>
      <c r="V440" t="str">
        <f t="shared" si="71"/>
        <v>78637 0 0 1 0</v>
      </c>
    </row>
    <row r="441" spans="1:22">
      <c r="C441">
        <v>9590</v>
      </c>
      <c r="D441">
        <f t="shared" si="74"/>
        <v>78746</v>
      </c>
      <c r="E441" cm="1">
        <f t="array" ref="E441">INDEX(C:C,MATCH(MIN(ABS(C:C-D441)),ABS(C:C-D441),0))</f>
        <v>78752</v>
      </c>
      <c r="G441">
        <f t="shared" si="73"/>
        <v>115</v>
      </c>
      <c r="L441">
        <v>0</v>
      </c>
      <c r="M441">
        <v>1</v>
      </c>
      <c r="N441">
        <v>0</v>
      </c>
      <c r="O441">
        <v>0</v>
      </c>
      <c r="P441" t="str">
        <f t="shared" si="72"/>
        <v>78752 0 1 0 0</v>
      </c>
      <c r="R441">
        <v>0</v>
      </c>
      <c r="S441">
        <v>1</v>
      </c>
      <c r="T441">
        <v>0</v>
      </c>
      <c r="U441">
        <v>0</v>
      </c>
      <c r="V441" t="str">
        <f t="shared" ref="V441:V472" si="75">E441&amp;" "&amp;R441&amp;" "&amp;S441&amp;" "&amp;T441&amp;" "&amp;U441</f>
        <v>78752 0 1 0 0</v>
      </c>
    </row>
    <row r="442" spans="1:22">
      <c r="C442">
        <v>9613</v>
      </c>
      <c r="D442">
        <f t="shared" si="74"/>
        <v>78975</v>
      </c>
      <c r="E442" cm="1">
        <f t="array" ref="E442">INDEX(C:C,MATCH(MIN(ABS(C:C-D442)),ABS(C:C-D442),0))</f>
        <v>78983</v>
      </c>
      <c r="G442">
        <f t="shared" si="73"/>
        <v>231</v>
      </c>
      <c r="L442">
        <v>0</v>
      </c>
      <c r="M442">
        <v>0</v>
      </c>
      <c r="N442">
        <v>1</v>
      </c>
      <c r="O442">
        <v>0</v>
      </c>
      <c r="P442" t="str">
        <f t="shared" si="72"/>
        <v>78983 0 0 1 0</v>
      </c>
      <c r="R442">
        <v>0</v>
      </c>
      <c r="S442">
        <v>0</v>
      </c>
      <c r="T442">
        <v>1</v>
      </c>
      <c r="U442">
        <v>0</v>
      </c>
      <c r="V442" t="str">
        <f t="shared" si="75"/>
        <v>78983 0 0 1 0</v>
      </c>
    </row>
    <row r="443" spans="1:22">
      <c r="C443">
        <v>9637</v>
      </c>
      <c r="D443">
        <f t="shared" si="74"/>
        <v>79093</v>
      </c>
      <c r="E443" cm="1">
        <f t="array" ref="E443">INDEX(C:C,MATCH(MIN(ABS(C:C-D443)),ABS(C:C-D443),0))</f>
        <v>79098</v>
      </c>
      <c r="G443">
        <f t="shared" si="73"/>
        <v>115</v>
      </c>
      <c r="L443">
        <v>0</v>
      </c>
      <c r="M443">
        <v>1</v>
      </c>
      <c r="N443">
        <v>0</v>
      </c>
      <c r="O443">
        <v>0</v>
      </c>
      <c r="P443" t="str">
        <f t="shared" si="72"/>
        <v>79098 0 1 0 0</v>
      </c>
      <c r="R443">
        <v>0</v>
      </c>
      <c r="S443">
        <v>1</v>
      </c>
      <c r="T443">
        <v>0</v>
      </c>
      <c r="U443">
        <v>0</v>
      </c>
      <c r="V443" t="str">
        <f t="shared" si="75"/>
        <v>79098 0 1 0 0</v>
      </c>
    </row>
    <row r="444" spans="1:22">
      <c r="C444">
        <v>9660</v>
      </c>
      <c r="D444">
        <f t="shared" si="74"/>
        <v>79330</v>
      </c>
      <c r="E444" cm="1">
        <f t="array" ref="E444">INDEX(C:C,MATCH(MIN(ABS(C:C-D444)),ABS(C:C-D444),0))</f>
        <v>79329</v>
      </c>
      <c r="G444">
        <f t="shared" si="73"/>
        <v>231</v>
      </c>
      <c r="L444">
        <v>0</v>
      </c>
      <c r="M444">
        <v>0</v>
      </c>
      <c r="N444">
        <v>0</v>
      </c>
      <c r="O444">
        <v>1</v>
      </c>
      <c r="P444" t="str">
        <f t="shared" si="72"/>
        <v>79329 0 0 0 1</v>
      </c>
      <c r="R444">
        <v>0</v>
      </c>
      <c r="S444">
        <v>0</v>
      </c>
      <c r="T444">
        <v>0</v>
      </c>
      <c r="U444">
        <v>1</v>
      </c>
      <c r="V444" t="str">
        <f t="shared" si="75"/>
        <v>79329 0 0 0 1</v>
      </c>
    </row>
    <row r="445" spans="1:22">
      <c r="C445">
        <v>9683</v>
      </c>
      <c r="D445">
        <f t="shared" si="74"/>
        <v>79557</v>
      </c>
      <c r="E445" cm="1">
        <f t="array" ref="E445">INDEX(C:C,MATCH(MIN(ABS(C:C-D445)),ABS(C:C-D445),0))</f>
        <v>79560</v>
      </c>
      <c r="G445">
        <f t="shared" si="73"/>
        <v>231</v>
      </c>
      <c r="L445">
        <v>1</v>
      </c>
      <c r="M445">
        <v>0</v>
      </c>
      <c r="N445">
        <v>0</v>
      </c>
      <c r="O445">
        <v>1</v>
      </c>
      <c r="P445" t="str">
        <f t="shared" si="72"/>
        <v>79560 1 0 0 1</v>
      </c>
      <c r="R445">
        <v>1</v>
      </c>
      <c r="S445">
        <v>0</v>
      </c>
      <c r="T445">
        <v>0</v>
      </c>
      <c r="U445">
        <v>1</v>
      </c>
      <c r="V445" t="str">
        <f t="shared" si="75"/>
        <v>79560 1 0 0 1</v>
      </c>
    </row>
    <row r="446" spans="1:22">
      <c r="C446">
        <v>9706</v>
      </c>
      <c r="D446">
        <f t="shared" si="74"/>
        <v>79793</v>
      </c>
      <c r="E446" cm="1">
        <f t="array" ref="E446">INDEX(C:C,MATCH(MIN(ABS(C:C-D446)),ABS(C:C-D446),0))</f>
        <v>79790</v>
      </c>
      <c r="G446">
        <f t="shared" si="73"/>
        <v>230</v>
      </c>
      <c r="L446">
        <v>0</v>
      </c>
      <c r="M446">
        <v>0</v>
      </c>
      <c r="N446">
        <v>1</v>
      </c>
      <c r="O446">
        <v>0</v>
      </c>
      <c r="P446" t="str">
        <f t="shared" si="72"/>
        <v>79790 0 0 1 0</v>
      </c>
      <c r="R446">
        <v>0</v>
      </c>
      <c r="S446">
        <v>0</v>
      </c>
      <c r="T446">
        <v>1</v>
      </c>
      <c r="U446">
        <v>0</v>
      </c>
      <c r="V446" t="str">
        <f t="shared" si="75"/>
        <v>79790 0 0 1 0</v>
      </c>
    </row>
    <row r="447" spans="1:22">
      <c r="C447">
        <v>9729</v>
      </c>
      <c r="D447">
        <f t="shared" si="74"/>
        <v>79906</v>
      </c>
      <c r="E447" cm="1">
        <f t="array" ref="E447">INDEX(C:C,MATCH(MIN(ABS(C:C-D447)),ABS(C:C-D447),0))</f>
        <v>79906</v>
      </c>
      <c r="G447">
        <f t="shared" si="73"/>
        <v>116</v>
      </c>
      <c r="L447">
        <v>0</v>
      </c>
      <c r="M447">
        <v>0</v>
      </c>
      <c r="N447">
        <v>1</v>
      </c>
      <c r="O447">
        <v>0</v>
      </c>
      <c r="P447" t="str">
        <f t="shared" si="72"/>
        <v>79906 0 0 1 0</v>
      </c>
      <c r="R447">
        <v>0</v>
      </c>
      <c r="S447">
        <v>0</v>
      </c>
      <c r="T447">
        <v>1</v>
      </c>
      <c r="U447">
        <v>0</v>
      </c>
    </row>
    <row r="448" spans="1:22">
      <c r="C448">
        <v>9752</v>
      </c>
      <c r="D448">
        <f t="shared" si="74"/>
        <v>80013</v>
      </c>
      <c r="E448" cm="1">
        <f t="array" ref="E448">INDEX(C:C,MATCH(MIN(ABS(C:C-D448)),ABS(C:C-D448),0))</f>
        <v>80021</v>
      </c>
      <c r="G448">
        <f t="shared" si="73"/>
        <v>115</v>
      </c>
      <c r="L448">
        <v>0</v>
      </c>
      <c r="M448">
        <v>1</v>
      </c>
      <c r="N448">
        <v>0</v>
      </c>
      <c r="O448">
        <v>0</v>
      </c>
      <c r="P448" t="str">
        <f t="shared" si="72"/>
        <v>80021 0 1 0 0</v>
      </c>
      <c r="R448">
        <v>0</v>
      </c>
      <c r="S448">
        <v>1</v>
      </c>
      <c r="T448">
        <v>0</v>
      </c>
      <c r="U448">
        <v>0</v>
      </c>
      <c r="V448" t="str">
        <f t="shared" si="75"/>
        <v>80021 0 1 0 0</v>
      </c>
    </row>
    <row r="449" spans="3:22">
      <c r="C449">
        <v>9775</v>
      </c>
      <c r="D449">
        <f t="shared" si="74"/>
        <v>80129</v>
      </c>
      <c r="E449" cm="1">
        <f t="array" ref="E449">INDEX(C:C,MATCH(MIN(ABS(C:C-D449)),ABS(C:C-D449),0))</f>
        <v>80137</v>
      </c>
      <c r="G449">
        <f t="shared" si="73"/>
        <v>116</v>
      </c>
      <c r="L449">
        <v>0</v>
      </c>
      <c r="M449">
        <v>0</v>
      </c>
      <c r="N449">
        <v>1</v>
      </c>
      <c r="O449">
        <v>0</v>
      </c>
      <c r="P449" t="str">
        <f t="shared" ref="P449:P480" si="76">E449&amp;" "&amp;L449&amp;" "&amp;M449&amp;" "&amp;N449&amp;" "&amp;O449</f>
        <v>80137 0 0 1 0</v>
      </c>
      <c r="R449">
        <v>0</v>
      </c>
      <c r="S449">
        <v>0</v>
      </c>
      <c r="T449">
        <v>1</v>
      </c>
      <c r="U449">
        <v>0</v>
      </c>
      <c r="V449" t="str">
        <f t="shared" si="75"/>
        <v>80137 0 0 1 0</v>
      </c>
    </row>
    <row r="450" spans="3:22">
      <c r="C450">
        <v>9798</v>
      </c>
      <c r="D450">
        <f t="shared" si="74"/>
        <v>80244</v>
      </c>
      <c r="E450" cm="1">
        <f t="array" ref="E450">INDEX(C:C,MATCH(MIN(ABS(C:C-D450)),ABS(C:C-D450),0))</f>
        <v>80252</v>
      </c>
      <c r="G450">
        <f t="shared" si="73"/>
        <v>115</v>
      </c>
      <c r="L450">
        <v>0</v>
      </c>
      <c r="M450">
        <v>0</v>
      </c>
      <c r="N450">
        <v>1</v>
      </c>
      <c r="O450">
        <v>0</v>
      </c>
      <c r="P450" t="str">
        <f t="shared" si="76"/>
        <v>80252 0 0 1 0</v>
      </c>
      <c r="R450">
        <v>0</v>
      </c>
      <c r="S450">
        <v>0</v>
      </c>
      <c r="T450">
        <v>1</v>
      </c>
      <c r="U450">
        <v>0</v>
      </c>
    </row>
    <row r="451" spans="3:22">
      <c r="C451">
        <v>9821</v>
      </c>
      <c r="D451">
        <f t="shared" si="74"/>
        <v>80475</v>
      </c>
      <c r="E451" cm="1">
        <f t="array" ref="E451">INDEX(C:C,MATCH(MIN(ABS(C:C-D451)),ABS(C:C-D451),0))</f>
        <v>80483</v>
      </c>
      <c r="G451">
        <f t="shared" si="73"/>
        <v>231</v>
      </c>
      <c r="L451">
        <v>0</v>
      </c>
      <c r="M451">
        <v>1</v>
      </c>
      <c r="N451">
        <v>0</v>
      </c>
      <c r="O451">
        <v>0</v>
      </c>
      <c r="P451" t="str">
        <f t="shared" si="76"/>
        <v>80483 0 1 0 0</v>
      </c>
      <c r="R451">
        <v>0</v>
      </c>
      <c r="S451">
        <v>1</v>
      </c>
      <c r="T451">
        <v>0</v>
      </c>
      <c r="U451">
        <v>0</v>
      </c>
      <c r="V451" t="str">
        <f t="shared" si="75"/>
        <v>80483 0 1 0 0</v>
      </c>
    </row>
    <row r="452" spans="3:22">
      <c r="C452">
        <v>9844</v>
      </c>
      <c r="D452">
        <f t="shared" si="74"/>
        <v>80592</v>
      </c>
      <c r="E452" cm="1">
        <f t="array" ref="E452">INDEX(C:C,MATCH(MIN(ABS(C:C-D452)),ABS(C:C-D452),0))</f>
        <v>80598</v>
      </c>
      <c r="G452">
        <f t="shared" si="73"/>
        <v>115</v>
      </c>
      <c r="L452">
        <v>0</v>
      </c>
      <c r="M452">
        <v>0</v>
      </c>
      <c r="N452">
        <v>1</v>
      </c>
      <c r="O452">
        <v>0</v>
      </c>
      <c r="P452" t="str">
        <f t="shared" si="76"/>
        <v>80598 0 0 1 0</v>
      </c>
      <c r="R452">
        <v>0</v>
      </c>
      <c r="S452">
        <v>0</v>
      </c>
      <c r="T452">
        <v>1</v>
      </c>
      <c r="U452">
        <v>0</v>
      </c>
      <c r="V452" t="str">
        <f t="shared" si="75"/>
        <v>80598 0 0 1 0</v>
      </c>
    </row>
    <row r="453" spans="3:22">
      <c r="C453">
        <v>9867</v>
      </c>
      <c r="D453">
        <f t="shared" si="74"/>
        <v>80821</v>
      </c>
      <c r="E453" cm="1">
        <f t="array" ref="E453">INDEX(C:C,MATCH(MIN(ABS(C:C-D453)),ABS(C:C-D453),0))</f>
        <v>80829</v>
      </c>
      <c r="G453">
        <f t="shared" si="73"/>
        <v>231</v>
      </c>
      <c r="L453">
        <v>0</v>
      </c>
      <c r="M453">
        <v>1</v>
      </c>
      <c r="N453">
        <v>0</v>
      </c>
      <c r="O453">
        <v>0</v>
      </c>
      <c r="P453" t="str">
        <f t="shared" si="76"/>
        <v>80829 0 1 0 0</v>
      </c>
      <c r="R453">
        <v>0</v>
      </c>
      <c r="S453">
        <v>1</v>
      </c>
      <c r="T453">
        <v>0</v>
      </c>
      <c r="U453">
        <v>0</v>
      </c>
      <c r="V453" t="str">
        <f t="shared" si="75"/>
        <v>80829 0 1 0 0</v>
      </c>
    </row>
    <row r="454" spans="3:22">
      <c r="C454">
        <v>9890</v>
      </c>
      <c r="D454">
        <f t="shared" si="74"/>
        <v>80939</v>
      </c>
      <c r="E454" cm="1">
        <f t="array" ref="E454">INDEX(C:C,MATCH(MIN(ABS(C:C-D454)),ABS(C:C-D454),0))</f>
        <v>80944</v>
      </c>
      <c r="G454">
        <f t="shared" si="73"/>
        <v>115</v>
      </c>
      <c r="L454">
        <v>0</v>
      </c>
      <c r="M454">
        <v>0</v>
      </c>
      <c r="N454">
        <v>1</v>
      </c>
      <c r="O454">
        <v>0</v>
      </c>
      <c r="P454" t="str">
        <f t="shared" si="76"/>
        <v>80944 0 0 1 0</v>
      </c>
      <c r="R454">
        <v>0</v>
      </c>
      <c r="S454">
        <v>0</v>
      </c>
      <c r="T454">
        <v>1</v>
      </c>
      <c r="U454">
        <v>0</v>
      </c>
      <c r="V454" t="str">
        <f t="shared" si="75"/>
        <v>80944 0 0 1 0</v>
      </c>
    </row>
    <row r="455" spans="3:22">
      <c r="C455">
        <v>9913</v>
      </c>
      <c r="D455">
        <f t="shared" si="74"/>
        <v>81176</v>
      </c>
      <c r="E455" cm="1">
        <f t="array" ref="E455">INDEX(C:C,MATCH(MIN(ABS(C:C-D455)),ABS(C:C-D455),0))</f>
        <v>81175</v>
      </c>
      <c r="G455">
        <f t="shared" si="73"/>
        <v>231</v>
      </c>
      <c r="L455">
        <v>1</v>
      </c>
      <c r="M455">
        <v>0</v>
      </c>
      <c r="N455">
        <v>0</v>
      </c>
      <c r="O455">
        <v>0</v>
      </c>
      <c r="P455" t="str">
        <f t="shared" si="76"/>
        <v>81175 1 0 0 0</v>
      </c>
      <c r="R455">
        <v>1</v>
      </c>
      <c r="S455">
        <v>0</v>
      </c>
      <c r="T455">
        <v>0</v>
      </c>
      <c r="U455">
        <v>0</v>
      </c>
      <c r="V455" t="str">
        <f t="shared" si="75"/>
        <v>81175 1 0 0 0</v>
      </c>
    </row>
    <row r="456" spans="3:22">
      <c r="C456">
        <v>9937</v>
      </c>
      <c r="D456">
        <f t="shared" si="74"/>
        <v>81403</v>
      </c>
      <c r="E456" cm="1">
        <f t="array" ref="E456">INDEX(C:C,MATCH(MIN(ABS(C:C-D456)),ABS(C:C-D456),0))</f>
        <v>81406</v>
      </c>
      <c r="G456">
        <f t="shared" si="73"/>
        <v>231</v>
      </c>
      <c r="L456">
        <v>1</v>
      </c>
      <c r="M456">
        <v>0</v>
      </c>
      <c r="N456">
        <v>0</v>
      </c>
      <c r="O456">
        <v>0</v>
      </c>
      <c r="P456" t="str">
        <f t="shared" si="76"/>
        <v>81406 1 0 0 0</v>
      </c>
      <c r="R456">
        <v>1</v>
      </c>
      <c r="S456">
        <v>0</v>
      </c>
      <c r="T456">
        <v>0</v>
      </c>
      <c r="U456">
        <v>0</v>
      </c>
      <c r="V456" t="str">
        <f t="shared" si="75"/>
        <v>81406 1 0 0 0</v>
      </c>
    </row>
    <row r="457" spans="3:22">
      <c r="C457">
        <v>9960</v>
      </c>
      <c r="D457">
        <f t="shared" si="74"/>
        <v>81639</v>
      </c>
      <c r="E457" cm="1">
        <f t="array" ref="E457">INDEX(C:C,MATCH(MIN(ABS(C:C-D457)),ABS(C:C-D457),0))</f>
        <v>81637</v>
      </c>
      <c r="G457">
        <f t="shared" si="73"/>
        <v>231</v>
      </c>
      <c r="L457">
        <v>0</v>
      </c>
      <c r="M457">
        <v>1</v>
      </c>
      <c r="N457">
        <v>0</v>
      </c>
      <c r="O457">
        <v>0</v>
      </c>
      <c r="P457" t="str">
        <f t="shared" si="76"/>
        <v>81637 0 1 0 0</v>
      </c>
      <c r="R457">
        <v>0</v>
      </c>
      <c r="S457">
        <v>1</v>
      </c>
      <c r="T457">
        <v>0</v>
      </c>
      <c r="U457">
        <v>0</v>
      </c>
      <c r="V457" t="str">
        <f t="shared" si="75"/>
        <v>81637 0 1 0 0</v>
      </c>
    </row>
    <row r="458" spans="3:22">
      <c r="C458">
        <v>9983</v>
      </c>
      <c r="D458">
        <f t="shared" si="74"/>
        <v>81752</v>
      </c>
      <c r="E458" cm="1">
        <f t="array" ref="E458">INDEX(C:C,MATCH(MIN(ABS(C:C-D458)),ABS(C:C-D458),0))</f>
        <v>81752</v>
      </c>
      <c r="G458">
        <f t="shared" si="73"/>
        <v>115</v>
      </c>
      <c r="L458">
        <v>0</v>
      </c>
      <c r="M458">
        <v>1</v>
      </c>
      <c r="N458">
        <v>0</v>
      </c>
      <c r="O458">
        <v>0</v>
      </c>
      <c r="P458" t="str">
        <f t="shared" si="76"/>
        <v>81752 0 1 0 0</v>
      </c>
      <c r="R458">
        <v>0</v>
      </c>
      <c r="S458">
        <v>1</v>
      </c>
      <c r="T458">
        <v>0</v>
      </c>
      <c r="U458">
        <v>0</v>
      </c>
    </row>
    <row r="459" spans="3:22">
      <c r="C459">
        <v>10006</v>
      </c>
      <c r="D459">
        <f t="shared" si="74"/>
        <v>81859</v>
      </c>
      <c r="E459" cm="1">
        <f t="array" ref="E459">INDEX(C:C,MATCH(MIN(ABS(C:C-D459)),ABS(C:C-D459),0))</f>
        <v>81867</v>
      </c>
      <c r="G459">
        <f t="shared" si="73"/>
        <v>115</v>
      </c>
      <c r="L459">
        <v>0</v>
      </c>
      <c r="M459">
        <v>0</v>
      </c>
      <c r="N459">
        <v>1</v>
      </c>
      <c r="O459">
        <v>0</v>
      </c>
      <c r="P459" t="str">
        <f t="shared" si="76"/>
        <v>81867 0 0 1 0</v>
      </c>
      <c r="R459">
        <v>0</v>
      </c>
      <c r="S459">
        <v>0</v>
      </c>
      <c r="T459">
        <v>1</v>
      </c>
      <c r="U459">
        <v>0</v>
      </c>
      <c r="V459" t="str">
        <f t="shared" si="75"/>
        <v>81867 0 0 1 0</v>
      </c>
    </row>
    <row r="460" spans="3:22">
      <c r="C460">
        <v>10029</v>
      </c>
      <c r="D460">
        <f t="shared" si="74"/>
        <v>81975</v>
      </c>
      <c r="E460" cm="1">
        <f t="array" ref="E460">INDEX(C:C,MATCH(MIN(ABS(C:C-D460)),ABS(C:C-D460),0))</f>
        <v>81983</v>
      </c>
      <c r="G460">
        <f t="shared" si="73"/>
        <v>116</v>
      </c>
      <c r="L460">
        <v>0</v>
      </c>
      <c r="M460">
        <v>1</v>
      </c>
      <c r="N460">
        <v>0</v>
      </c>
      <c r="O460">
        <v>0</v>
      </c>
      <c r="P460" t="str">
        <f t="shared" si="76"/>
        <v>81983 0 1 0 0</v>
      </c>
      <c r="R460">
        <v>0</v>
      </c>
      <c r="S460">
        <v>1</v>
      </c>
      <c r="T460">
        <v>0</v>
      </c>
      <c r="U460">
        <v>0</v>
      </c>
      <c r="V460" t="str">
        <f t="shared" si="75"/>
        <v>81983 0 1 0 0</v>
      </c>
    </row>
    <row r="461" spans="3:22">
      <c r="C461">
        <v>10052</v>
      </c>
      <c r="D461">
        <f t="shared" si="74"/>
        <v>82090</v>
      </c>
      <c r="E461" cm="1">
        <f t="array" ref="E461">INDEX(C:C,MATCH(MIN(ABS(C:C-D461)),ABS(C:C-D461),0))</f>
        <v>82098</v>
      </c>
      <c r="G461">
        <f t="shared" si="73"/>
        <v>115</v>
      </c>
      <c r="L461">
        <v>0</v>
      </c>
      <c r="M461">
        <v>1</v>
      </c>
      <c r="N461">
        <v>0</v>
      </c>
      <c r="O461">
        <v>0</v>
      </c>
      <c r="P461" t="str">
        <f t="shared" si="76"/>
        <v>82098 0 1 0 0</v>
      </c>
      <c r="R461">
        <v>0</v>
      </c>
      <c r="S461">
        <v>1</v>
      </c>
      <c r="T461">
        <v>0</v>
      </c>
      <c r="U461">
        <v>0</v>
      </c>
    </row>
    <row r="462" spans="3:22">
      <c r="C462">
        <v>10075</v>
      </c>
      <c r="D462">
        <f t="shared" si="74"/>
        <v>82321</v>
      </c>
      <c r="E462" cm="1">
        <f t="array" ref="E462">INDEX(C:C,MATCH(MIN(ABS(C:C-D462)),ABS(C:C-D462),0))</f>
        <v>82329</v>
      </c>
      <c r="G462">
        <f t="shared" si="73"/>
        <v>231</v>
      </c>
      <c r="L462">
        <v>0</v>
      </c>
      <c r="M462">
        <v>0</v>
      </c>
      <c r="N462">
        <v>1</v>
      </c>
      <c r="O462">
        <v>0</v>
      </c>
      <c r="P462" t="str">
        <f t="shared" si="76"/>
        <v>82329 0 0 1 0</v>
      </c>
      <c r="R462">
        <v>0</v>
      </c>
      <c r="S462">
        <v>0</v>
      </c>
      <c r="T462">
        <v>1</v>
      </c>
      <c r="U462">
        <v>0</v>
      </c>
      <c r="V462" t="str">
        <f t="shared" si="75"/>
        <v>82329 0 0 1 0</v>
      </c>
    </row>
    <row r="463" spans="3:22">
      <c r="C463">
        <v>10098</v>
      </c>
      <c r="D463">
        <f t="shared" si="74"/>
        <v>82438</v>
      </c>
      <c r="E463" cm="1">
        <f t="array" ref="E463">INDEX(C:C,MATCH(MIN(ABS(C:C-D463)),ABS(C:C-D463),0))</f>
        <v>82444</v>
      </c>
      <c r="G463">
        <f t="shared" si="73"/>
        <v>115</v>
      </c>
      <c r="L463">
        <v>0</v>
      </c>
      <c r="M463">
        <v>1</v>
      </c>
      <c r="N463">
        <v>0</v>
      </c>
      <c r="O463">
        <v>0</v>
      </c>
      <c r="P463" t="str">
        <f t="shared" si="76"/>
        <v>82444 0 1 0 0</v>
      </c>
      <c r="R463">
        <v>0</v>
      </c>
      <c r="S463">
        <v>1</v>
      </c>
      <c r="T463">
        <v>0</v>
      </c>
      <c r="U463">
        <v>0</v>
      </c>
      <c r="V463" t="str">
        <f t="shared" si="75"/>
        <v>82444 0 1 0 0</v>
      </c>
    </row>
    <row r="464" spans="3:22">
      <c r="C464">
        <v>10121</v>
      </c>
      <c r="D464">
        <f t="shared" si="74"/>
        <v>82667</v>
      </c>
      <c r="E464" cm="1">
        <f t="array" ref="E464">INDEX(C:C,MATCH(MIN(ABS(C:C-D464)),ABS(C:C-D464),0))</f>
        <v>82675</v>
      </c>
      <c r="G464">
        <f t="shared" si="73"/>
        <v>231</v>
      </c>
      <c r="L464">
        <v>0</v>
      </c>
      <c r="M464">
        <v>0</v>
      </c>
      <c r="N464">
        <v>1</v>
      </c>
      <c r="O464">
        <v>0</v>
      </c>
      <c r="P464" t="str">
        <f t="shared" si="76"/>
        <v>82675 0 0 1 0</v>
      </c>
      <c r="R464">
        <v>0</v>
      </c>
      <c r="S464">
        <v>0</v>
      </c>
      <c r="T464">
        <v>1</v>
      </c>
      <c r="U464">
        <v>0</v>
      </c>
      <c r="V464" t="str">
        <f t="shared" si="75"/>
        <v>82675 0 0 1 0</v>
      </c>
    </row>
    <row r="465" spans="1:22">
      <c r="C465">
        <v>10144</v>
      </c>
      <c r="D465">
        <f t="shared" si="74"/>
        <v>82785</v>
      </c>
      <c r="E465" cm="1">
        <f t="array" ref="E465">INDEX(C:C,MATCH(MIN(ABS(C:C-D465)),ABS(C:C-D465),0))</f>
        <v>82790</v>
      </c>
      <c r="G465">
        <f t="shared" si="73"/>
        <v>115</v>
      </c>
      <c r="L465">
        <v>0</v>
      </c>
      <c r="M465">
        <v>1</v>
      </c>
      <c r="N465">
        <v>0</v>
      </c>
      <c r="O465">
        <v>0</v>
      </c>
      <c r="P465" t="str">
        <f t="shared" si="76"/>
        <v>82790 0 1 0 0</v>
      </c>
      <c r="R465">
        <v>0</v>
      </c>
      <c r="S465">
        <v>1</v>
      </c>
      <c r="T465">
        <v>0</v>
      </c>
      <c r="U465">
        <v>0</v>
      </c>
      <c r="V465" t="str">
        <f t="shared" si="75"/>
        <v>82790 0 1 0 0</v>
      </c>
    </row>
    <row r="466" spans="1:22">
      <c r="C466">
        <v>10167</v>
      </c>
      <c r="D466">
        <f t="shared" si="74"/>
        <v>83022</v>
      </c>
      <c r="E466" cm="1">
        <f t="array" ref="E466">INDEX(C:C,MATCH(MIN(ABS(C:C-D466)),ABS(C:C-D466),0))</f>
        <v>83021</v>
      </c>
      <c r="G466">
        <f t="shared" si="73"/>
        <v>231</v>
      </c>
      <c r="L466">
        <v>0</v>
      </c>
      <c r="M466">
        <v>0</v>
      </c>
      <c r="N466">
        <v>0</v>
      </c>
      <c r="O466">
        <v>1</v>
      </c>
      <c r="P466" t="str">
        <f t="shared" si="76"/>
        <v>83021 0 0 0 1</v>
      </c>
      <c r="R466">
        <v>0</v>
      </c>
      <c r="S466">
        <v>0</v>
      </c>
      <c r="T466">
        <v>0</v>
      </c>
      <c r="U466">
        <v>1</v>
      </c>
      <c r="V466" t="str">
        <f t="shared" si="75"/>
        <v>83021 0 0 0 1</v>
      </c>
    </row>
    <row r="467" spans="1:22">
      <c r="C467">
        <v>10190</v>
      </c>
      <c r="D467">
        <f t="shared" si="74"/>
        <v>83249</v>
      </c>
      <c r="E467" cm="1">
        <f t="array" ref="E467">INDEX(C:C,MATCH(MIN(ABS(C:C-D467)),ABS(C:C-D467),0))</f>
        <v>83252</v>
      </c>
      <c r="G467">
        <f t="shared" si="73"/>
        <v>231</v>
      </c>
      <c r="L467">
        <v>1</v>
      </c>
      <c r="M467">
        <v>0</v>
      </c>
      <c r="N467">
        <v>0</v>
      </c>
      <c r="O467">
        <v>1</v>
      </c>
      <c r="P467" t="str">
        <f t="shared" si="76"/>
        <v>83252 1 0 0 1</v>
      </c>
      <c r="R467">
        <v>1</v>
      </c>
      <c r="S467">
        <v>0</v>
      </c>
      <c r="T467">
        <v>0</v>
      </c>
      <c r="U467">
        <v>1</v>
      </c>
      <c r="V467" t="str">
        <f t="shared" si="75"/>
        <v>83252 1 0 0 1</v>
      </c>
    </row>
    <row r="468" spans="1:22">
      <c r="C468">
        <v>10213</v>
      </c>
      <c r="D468">
        <f t="shared" si="74"/>
        <v>83485</v>
      </c>
      <c r="E468" cm="1">
        <f t="array" ref="E468">INDEX(C:C,MATCH(MIN(ABS(C:C-D468)),ABS(C:C-D468),0))</f>
        <v>83483</v>
      </c>
      <c r="G468">
        <f t="shared" si="73"/>
        <v>231</v>
      </c>
      <c r="L468">
        <v>0</v>
      </c>
      <c r="M468">
        <v>0</v>
      </c>
      <c r="N468">
        <v>1</v>
      </c>
      <c r="O468">
        <v>0</v>
      </c>
      <c r="P468" t="str">
        <f t="shared" si="76"/>
        <v>83483 0 0 1 0</v>
      </c>
      <c r="R468">
        <v>0</v>
      </c>
      <c r="S468">
        <v>0</v>
      </c>
      <c r="T468">
        <v>1</v>
      </c>
      <c r="U468">
        <v>0</v>
      </c>
      <c r="V468" t="str">
        <f t="shared" si="75"/>
        <v>83483 0 0 1 0</v>
      </c>
    </row>
    <row r="469" spans="1:22">
      <c r="C469">
        <v>10237</v>
      </c>
      <c r="D469">
        <f t="shared" si="74"/>
        <v>83598</v>
      </c>
      <c r="E469" cm="1">
        <f t="array" ref="E469">INDEX(C:C,MATCH(MIN(ABS(C:C-D469)),ABS(C:C-D469),0))</f>
        <v>83598</v>
      </c>
      <c r="G469">
        <f t="shared" si="73"/>
        <v>115</v>
      </c>
      <c r="L469">
        <v>0</v>
      </c>
      <c r="M469">
        <v>0</v>
      </c>
      <c r="N469">
        <v>1</v>
      </c>
      <c r="O469">
        <v>0</v>
      </c>
      <c r="P469" t="str">
        <f t="shared" si="76"/>
        <v>83598 0 0 1 0</v>
      </c>
      <c r="R469">
        <v>0</v>
      </c>
      <c r="S469">
        <v>0</v>
      </c>
      <c r="T469">
        <v>1</v>
      </c>
      <c r="U469">
        <v>0</v>
      </c>
    </row>
    <row r="470" spans="1:22">
      <c r="C470">
        <v>10260</v>
      </c>
      <c r="D470">
        <f t="shared" si="74"/>
        <v>83705</v>
      </c>
      <c r="E470" cm="1">
        <f t="array" ref="E470">INDEX(C:C,MATCH(MIN(ABS(C:C-D470)),ABS(C:C-D470),0))</f>
        <v>83713</v>
      </c>
      <c r="G470">
        <f t="shared" si="73"/>
        <v>115</v>
      </c>
      <c r="L470">
        <v>0</v>
      </c>
      <c r="M470">
        <v>1</v>
      </c>
      <c r="N470">
        <v>0</v>
      </c>
      <c r="O470">
        <v>0</v>
      </c>
      <c r="P470" t="str">
        <f t="shared" si="76"/>
        <v>83713 0 1 0 0</v>
      </c>
      <c r="R470">
        <v>0</v>
      </c>
      <c r="S470">
        <v>1</v>
      </c>
      <c r="T470">
        <v>0</v>
      </c>
      <c r="U470">
        <v>0</v>
      </c>
      <c r="V470" t="str">
        <f t="shared" si="75"/>
        <v>83713 0 1 0 0</v>
      </c>
    </row>
    <row r="471" spans="1:22">
      <c r="C471">
        <v>10283</v>
      </c>
      <c r="D471">
        <f t="shared" si="74"/>
        <v>83821</v>
      </c>
      <c r="E471" cm="1">
        <f t="array" ref="E471">INDEX(C:C,MATCH(MIN(ABS(C:C-D471)),ABS(C:C-D471),0))</f>
        <v>83829</v>
      </c>
      <c r="G471">
        <f t="shared" si="73"/>
        <v>116</v>
      </c>
      <c r="L471">
        <v>0</v>
      </c>
      <c r="M471">
        <v>0</v>
      </c>
      <c r="N471">
        <v>1</v>
      </c>
      <c r="O471">
        <v>0</v>
      </c>
      <c r="P471" t="str">
        <f t="shared" si="76"/>
        <v>83829 0 0 1 0</v>
      </c>
      <c r="R471">
        <v>0</v>
      </c>
      <c r="S471">
        <v>0</v>
      </c>
      <c r="T471">
        <v>1</v>
      </c>
      <c r="U471">
        <v>0</v>
      </c>
      <c r="V471" t="str">
        <f t="shared" si="75"/>
        <v>83829 0 0 1 0</v>
      </c>
    </row>
    <row r="472" spans="1:22">
      <c r="C472">
        <v>10306</v>
      </c>
      <c r="D472">
        <f t="shared" si="74"/>
        <v>83936</v>
      </c>
      <c r="E472" cm="1">
        <f t="array" ref="E472">INDEX(C:C,MATCH(MIN(ABS(C:C-D472)),ABS(C:C-D472),0))</f>
        <v>83944</v>
      </c>
      <c r="G472">
        <f t="shared" si="73"/>
        <v>115</v>
      </c>
      <c r="L472">
        <v>0</v>
      </c>
      <c r="M472">
        <v>0</v>
      </c>
      <c r="N472">
        <v>1</v>
      </c>
      <c r="O472">
        <v>0</v>
      </c>
      <c r="P472" t="str">
        <f t="shared" si="76"/>
        <v>83944 0 0 1 0</v>
      </c>
      <c r="R472">
        <v>0</v>
      </c>
      <c r="S472">
        <v>0</v>
      </c>
      <c r="T472">
        <v>1</v>
      </c>
      <c r="U472">
        <v>0</v>
      </c>
    </row>
    <row r="473" spans="1:22">
      <c r="C473">
        <v>10329</v>
      </c>
      <c r="D473">
        <f t="shared" si="74"/>
        <v>84167</v>
      </c>
      <c r="E473" cm="1">
        <f t="array" ref="E473">INDEX(C:C,MATCH(MIN(ABS(C:C-D473)),ABS(C:C-D473),0))</f>
        <v>84175</v>
      </c>
      <c r="G473">
        <f t="shared" si="73"/>
        <v>231</v>
      </c>
      <c r="L473">
        <v>0</v>
      </c>
      <c r="M473">
        <v>1</v>
      </c>
      <c r="N473">
        <v>0</v>
      </c>
      <c r="O473">
        <v>0</v>
      </c>
      <c r="P473" t="str">
        <f t="shared" si="76"/>
        <v>84175 0 1 0 0</v>
      </c>
      <c r="R473">
        <v>0</v>
      </c>
      <c r="S473">
        <v>1</v>
      </c>
      <c r="T473">
        <v>0</v>
      </c>
      <c r="U473">
        <v>0</v>
      </c>
      <c r="V473" t="str">
        <f t="shared" ref="V473:V504" si="77">E473&amp;" "&amp;R473&amp;" "&amp;S473&amp;" "&amp;T473&amp;" "&amp;U473</f>
        <v>84175 0 1 0 0</v>
      </c>
    </row>
    <row r="474" spans="1:22">
      <c r="C474">
        <v>10352</v>
      </c>
      <c r="D474">
        <f t="shared" si="74"/>
        <v>84284</v>
      </c>
      <c r="E474" cm="1">
        <f t="array" ref="E474">INDEX(C:C,MATCH(MIN(ABS(C:C-D474)),ABS(C:C-D474),0))</f>
        <v>84290</v>
      </c>
      <c r="G474">
        <f t="shared" si="73"/>
        <v>115</v>
      </c>
      <c r="L474">
        <v>0</v>
      </c>
      <c r="M474">
        <v>1</v>
      </c>
      <c r="N474">
        <v>0</v>
      </c>
      <c r="O474">
        <v>0</v>
      </c>
      <c r="P474" t="str">
        <f t="shared" si="76"/>
        <v>84290 0 1 0 0</v>
      </c>
      <c r="R474">
        <v>0</v>
      </c>
      <c r="S474">
        <v>1</v>
      </c>
      <c r="T474">
        <v>0</v>
      </c>
      <c r="U474">
        <v>0</v>
      </c>
    </row>
    <row r="475" spans="1:22">
      <c r="C475">
        <v>10375</v>
      </c>
      <c r="D475">
        <f t="shared" si="74"/>
        <v>84397</v>
      </c>
      <c r="E475" cm="1">
        <f t="array" ref="E475">INDEX(C:C,MATCH(MIN(ABS(C:C-D475)),ABS(C:C-D475),0))</f>
        <v>84406</v>
      </c>
      <c r="G475">
        <f t="shared" si="73"/>
        <v>116</v>
      </c>
      <c r="L475">
        <v>0</v>
      </c>
      <c r="M475">
        <v>1</v>
      </c>
      <c r="N475">
        <v>0</v>
      </c>
      <c r="O475">
        <v>0</v>
      </c>
      <c r="P475" t="str">
        <f t="shared" si="76"/>
        <v>84406 0 1 0 0</v>
      </c>
      <c r="R475">
        <v>0</v>
      </c>
      <c r="S475">
        <v>1</v>
      </c>
      <c r="T475">
        <v>0</v>
      </c>
      <c r="U475">
        <v>0</v>
      </c>
      <c r="V475" t="str">
        <f t="shared" si="77"/>
        <v>84406 0 1 0 0</v>
      </c>
    </row>
    <row r="476" spans="1:22">
      <c r="C476">
        <v>10398</v>
      </c>
      <c r="D476">
        <f t="shared" si="74"/>
        <v>84516</v>
      </c>
      <c r="E476" cm="1">
        <f t="array" ref="E476">INDEX(C:C,MATCH(MIN(ABS(C:C-D476)),ABS(C:C-D476),0))</f>
        <v>84521</v>
      </c>
      <c r="G476">
        <f t="shared" si="73"/>
        <v>115</v>
      </c>
      <c r="L476">
        <v>0</v>
      </c>
      <c r="M476">
        <v>1</v>
      </c>
      <c r="N476">
        <v>0</v>
      </c>
      <c r="O476">
        <v>0</v>
      </c>
      <c r="P476" t="str">
        <f t="shared" si="76"/>
        <v>84521 0 1 0 0</v>
      </c>
      <c r="R476">
        <v>0</v>
      </c>
      <c r="S476">
        <v>1</v>
      </c>
      <c r="T476">
        <v>0</v>
      </c>
      <c r="U476">
        <v>0</v>
      </c>
    </row>
    <row r="477" spans="1:22">
      <c r="C477">
        <v>10421</v>
      </c>
      <c r="D477">
        <f t="shared" si="74"/>
        <v>84635</v>
      </c>
      <c r="E477" cm="1">
        <f t="array" ref="E477">INDEX(C:C,MATCH(MIN(ABS(C:C-D477)),ABS(C:C-D477),0))</f>
        <v>84637</v>
      </c>
      <c r="G477">
        <f t="shared" si="73"/>
        <v>116</v>
      </c>
      <c r="L477">
        <v>0</v>
      </c>
      <c r="M477">
        <v>0</v>
      </c>
      <c r="N477">
        <v>1</v>
      </c>
      <c r="O477">
        <v>0</v>
      </c>
      <c r="P477" t="str">
        <f t="shared" si="76"/>
        <v>84637 0 0 1 0</v>
      </c>
      <c r="R477">
        <v>0</v>
      </c>
      <c r="S477">
        <v>0</v>
      </c>
      <c r="T477">
        <v>1</v>
      </c>
      <c r="U477">
        <v>0</v>
      </c>
      <c r="V477" t="str">
        <f t="shared" si="77"/>
        <v>84637 0 0 1 0</v>
      </c>
    </row>
    <row r="478" spans="1:22">
      <c r="C478">
        <v>10444</v>
      </c>
      <c r="D478">
        <f t="shared" si="74"/>
        <v>84863</v>
      </c>
      <c r="E478" cm="1">
        <f t="array" ref="E478">INDEX(C:C,MATCH(MIN(ABS(C:C-D478)),ABS(C:C-D478),0))</f>
        <v>84867</v>
      </c>
      <c r="G478">
        <f t="shared" si="73"/>
        <v>230</v>
      </c>
      <c r="L478">
        <v>1</v>
      </c>
      <c r="M478">
        <v>0</v>
      </c>
      <c r="N478">
        <v>0</v>
      </c>
      <c r="O478">
        <v>0</v>
      </c>
      <c r="P478" t="str">
        <f t="shared" si="76"/>
        <v>84867 1 0 0 0</v>
      </c>
      <c r="R478">
        <v>1</v>
      </c>
      <c r="S478">
        <v>0</v>
      </c>
      <c r="T478">
        <v>0</v>
      </c>
      <c r="U478">
        <v>0</v>
      </c>
      <c r="V478" t="str">
        <f t="shared" si="77"/>
        <v>84867 1 0 0 0</v>
      </c>
    </row>
    <row r="479" spans="1:22">
      <c r="A479" t="s">
        <v>98</v>
      </c>
      <c r="C479">
        <v>10467</v>
      </c>
      <c r="D479">
        <f>ROUND(D344+6000/26*96,0)</f>
        <v>85096</v>
      </c>
      <c r="E479" cm="1">
        <f t="array" ref="E479">INDEX(C:C,MATCH(MIN(ABS(C:C-D479)),ABS(C:C-D479),0))</f>
        <v>85098</v>
      </c>
      <c r="G479">
        <f t="shared" si="73"/>
        <v>231</v>
      </c>
      <c r="L479" cm="1">
        <f t="array" ref="L479:O523">_xlfn.SORTBY(L434:O478,COLUMN(L434:O478),-1)</f>
        <v>0</v>
      </c>
      <c r="M479">
        <v>0</v>
      </c>
      <c r="N479">
        <v>0</v>
      </c>
      <c r="O479">
        <v>1</v>
      </c>
      <c r="P479" t="str">
        <f t="shared" si="76"/>
        <v>85098 0 0 0 1</v>
      </c>
      <c r="R479">
        <v>0</v>
      </c>
      <c r="S479">
        <v>0</v>
      </c>
      <c r="T479">
        <v>0</v>
      </c>
      <c r="U479">
        <v>1</v>
      </c>
      <c r="V479" t="str">
        <f t="shared" si="77"/>
        <v>85098 0 0 0 1</v>
      </c>
    </row>
    <row r="480" spans="1:22">
      <c r="C480">
        <v>10490</v>
      </c>
      <c r="D480">
        <f t="shared" ref="D480:D523" si="78">ROUND(D345+6000/26*96,0)</f>
        <v>85332</v>
      </c>
      <c r="E480" cm="1">
        <f t="array" ref="E480">INDEX(C:C,MATCH(MIN(ABS(C:C-D480)),ABS(C:C-D480),0))</f>
        <v>85329</v>
      </c>
      <c r="G480">
        <f t="shared" si="73"/>
        <v>231</v>
      </c>
      <c r="L480">
        <v>0</v>
      </c>
      <c r="M480">
        <v>0</v>
      </c>
      <c r="N480">
        <v>1</v>
      </c>
      <c r="O480">
        <v>0</v>
      </c>
      <c r="P480" t="str">
        <f t="shared" si="76"/>
        <v>85329 0 0 1 0</v>
      </c>
      <c r="R480">
        <v>0</v>
      </c>
      <c r="S480">
        <v>0</v>
      </c>
      <c r="T480">
        <v>1</v>
      </c>
      <c r="U480">
        <v>0</v>
      </c>
      <c r="V480" t="str">
        <f t="shared" si="77"/>
        <v>85329 0 0 1 0</v>
      </c>
    </row>
    <row r="481" spans="3:22">
      <c r="C481">
        <v>10513</v>
      </c>
      <c r="D481">
        <f t="shared" si="78"/>
        <v>85445</v>
      </c>
      <c r="E481" cm="1">
        <f t="array" ref="E481">INDEX(C:C,MATCH(MIN(ABS(C:C-D481)),ABS(C:C-D481),0))</f>
        <v>85444</v>
      </c>
      <c r="G481">
        <f t="shared" si="73"/>
        <v>115</v>
      </c>
      <c r="L481">
        <v>0</v>
      </c>
      <c r="M481">
        <v>0</v>
      </c>
      <c r="N481">
        <v>1</v>
      </c>
      <c r="O481">
        <v>0</v>
      </c>
      <c r="P481" t="str">
        <f t="shared" ref="P481:P524" si="79">E481&amp;" "&amp;L481&amp;" "&amp;M481&amp;" "&amp;N481&amp;" "&amp;O481</f>
        <v>85444 0 0 1 0</v>
      </c>
      <c r="R481">
        <v>0</v>
      </c>
      <c r="S481">
        <v>0</v>
      </c>
      <c r="T481">
        <v>1</v>
      </c>
      <c r="U481">
        <v>0</v>
      </c>
    </row>
    <row r="482" spans="3:22">
      <c r="C482">
        <v>10537</v>
      </c>
      <c r="D482">
        <f t="shared" si="78"/>
        <v>85552</v>
      </c>
      <c r="E482" cm="1">
        <f t="array" ref="E482">INDEX(C:C,MATCH(MIN(ABS(C:C-D482)),ABS(C:C-D482),0))</f>
        <v>85560</v>
      </c>
      <c r="G482">
        <f t="shared" si="73"/>
        <v>116</v>
      </c>
      <c r="L482">
        <v>0</v>
      </c>
      <c r="M482">
        <v>1</v>
      </c>
      <c r="N482">
        <v>0</v>
      </c>
      <c r="O482">
        <v>0</v>
      </c>
      <c r="P482" t="str">
        <f t="shared" si="79"/>
        <v>85560 0 1 0 0</v>
      </c>
      <c r="R482">
        <v>0</v>
      </c>
      <c r="S482">
        <v>1</v>
      </c>
      <c r="T482">
        <v>0</v>
      </c>
      <c r="U482">
        <v>0</v>
      </c>
      <c r="V482" t="str">
        <f t="shared" si="77"/>
        <v>85560 0 1 0 0</v>
      </c>
    </row>
    <row r="483" spans="3:22">
      <c r="C483">
        <v>10560</v>
      </c>
      <c r="D483">
        <f t="shared" si="78"/>
        <v>85668</v>
      </c>
      <c r="E483" cm="1">
        <f t="array" ref="E483">INDEX(C:C,MATCH(MIN(ABS(C:C-D483)),ABS(C:C-D483),0))</f>
        <v>85675</v>
      </c>
      <c r="G483">
        <f t="shared" si="73"/>
        <v>115</v>
      </c>
      <c r="L483">
        <v>0</v>
      </c>
      <c r="M483">
        <v>0</v>
      </c>
      <c r="N483">
        <v>1</v>
      </c>
      <c r="O483">
        <v>0</v>
      </c>
      <c r="P483" t="str">
        <f t="shared" si="79"/>
        <v>85675 0 0 1 0</v>
      </c>
      <c r="R483">
        <v>0</v>
      </c>
      <c r="S483">
        <v>0</v>
      </c>
      <c r="T483">
        <v>1</v>
      </c>
      <c r="U483">
        <v>0</v>
      </c>
      <c r="V483" t="str">
        <f t="shared" si="77"/>
        <v>85675 0 0 1 0</v>
      </c>
    </row>
    <row r="484" spans="3:22">
      <c r="C484">
        <v>10583</v>
      </c>
      <c r="D484">
        <f t="shared" si="78"/>
        <v>85783</v>
      </c>
      <c r="E484" cm="1">
        <f t="array" ref="E484">INDEX(C:C,MATCH(MIN(ABS(C:C-D484)),ABS(C:C-D484),0))</f>
        <v>85790</v>
      </c>
      <c r="G484">
        <f t="shared" si="73"/>
        <v>115</v>
      </c>
      <c r="L484">
        <v>0</v>
      </c>
      <c r="M484">
        <v>0</v>
      </c>
      <c r="N484">
        <v>1</v>
      </c>
      <c r="O484">
        <v>0</v>
      </c>
      <c r="P484" t="str">
        <f t="shared" si="79"/>
        <v>85790 0 0 1 0</v>
      </c>
      <c r="R484">
        <v>0</v>
      </c>
      <c r="S484">
        <v>0</v>
      </c>
      <c r="T484">
        <v>1</v>
      </c>
      <c r="U484">
        <v>0</v>
      </c>
    </row>
    <row r="485" spans="3:22">
      <c r="C485">
        <v>10606</v>
      </c>
      <c r="D485">
        <f t="shared" si="78"/>
        <v>86014</v>
      </c>
      <c r="E485" cm="1">
        <f t="array" ref="E485">INDEX(C:C,MATCH(MIN(ABS(C:C-D485)),ABS(C:C-D485),0))</f>
        <v>86021</v>
      </c>
      <c r="G485">
        <f t="shared" si="73"/>
        <v>231</v>
      </c>
      <c r="L485">
        <v>0</v>
      </c>
      <c r="M485">
        <v>1</v>
      </c>
      <c r="N485">
        <v>0</v>
      </c>
      <c r="O485">
        <v>0</v>
      </c>
      <c r="P485" t="str">
        <f t="shared" si="79"/>
        <v>86021 0 1 0 0</v>
      </c>
      <c r="R485">
        <v>0</v>
      </c>
      <c r="S485">
        <v>1</v>
      </c>
      <c r="T485">
        <v>0</v>
      </c>
      <c r="U485">
        <v>0</v>
      </c>
      <c r="V485" t="str">
        <f t="shared" si="77"/>
        <v>86021 0 1 0 0</v>
      </c>
    </row>
    <row r="486" spans="3:22">
      <c r="C486">
        <v>10629</v>
      </c>
      <c r="D486">
        <f t="shared" si="78"/>
        <v>86131</v>
      </c>
      <c r="E486" cm="1">
        <f t="array" ref="E486">INDEX(C:C,MATCH(MIN(ABS(C:C-D486)),ABS(C:C-D486),0))</f>
        <v>86137</v>
      </c>
      <c r="G486">
        <f t="shared" si="73"/>
        <v>116</v>
      </c>
      <c r="L486">
        <v>0</v>
      </c>
      <c r="M486">
        <v>0</v>
      </c>
      <c r="N486">
        <v>1</v>
      </c>
      <c r="O486">
        <v>0</v>
      </c>
      <c r="P486" t="str">
        <f t="shared" si="79"/>
        <v>86137 0 0 1 0</v>
      </c>
      <c r="R486">
        <v>0</v>
      </c>
      <c r="S486">
        <v>0</v>
      </c>
      <c r="T486">
        <v>1</v>
      </c>
      <c r="U486">
        <v>0</v>
      </c>
      <c r="V486" t="str">
        <f t="shared" si="77"/>
        <v>86137 0 0 1 0</v>
      </c>
    </row>
    <row r="487" spans="3:22">
      <c r="C487">
        <v>10652</v>
      </c>
      <c r="D487">
        <f t="shared" si="78"/>
        <v>86360</v>
      </c>
      <c r="E487" cm="1">
        <f t="array" ref="E487">INDEX(C:C,MATCH(MIN(ABS(C:C-D487)),ABS(C:C-D487),0))</f>
        <v>86367</v>
      </c>
      <c r="G487">
        <f t="shared" si="73"/>
        <v>230</v>
      </c>
      <c r="L487">
        <v>0</v>
      </c>
      <c r="M487">
        <v>1</v>
      </c>
      <c r="N487">
        <v>0</v>
      </c>
      <c r="O487">
        <v>0</v>
      </c>
      <c r="P487" t="str">
        <f t="shared" si="79"/>
        <v>86367 0 1 0 0</v>
      </c>
      <c r="R487">
        <v>0</v>
      </c>
      <c r="S487">
        <v>1</v>
      </c>
      <c r="T487">
        <v>0</v>
      </c>
      <c r="U487">
        <v>0</v>
      </c>
      <c r="V487" t="str">
        <f t="shared" si="77"/>
        <v>86367 0 1 0 0</v>
      </c>
    </row>
    <row r="488" spans="3:22">
      <c r="C488">
        <v>10675</v>
      </c>
      <c r="D488">
        <f t="shared" si="78"/>
        <v>86478</v>
      </c>
      <c r="E488" cm="1">
        <f t="array" ref="E488">INDEX(C:C,MATCH(MIN(ABS(C:C-D488)),ABS(C:C-D488),0))</f>
        <v>86483</v>
      </c>
      <c r="G488">
        <f t="shared" si="73"/>
        <v>116</v>
      </c>
      <c r="L488">
        <v>0</v>
      </c>
      <c r="M488">
        <v>0</v>
      </c>
      <c r="N488">
        <v>1</v>
      </c>
      <c r="O488">
        <v>0</v>
      </c>
      <c r="P488" t="str">
        <f t="shared" si="79"/>
        <v>86483 0 0 1 0</v>
      </c>
      <c r="R488">
        <v>0</v>
      </c>
      <c r="S488">
        <v>0</v>
      </c>
      <c r="T488">
        <v>1</v>
      </c>
      <c r="U488">
        <v>0</v>
      </c>
      <c r="V488" t="str">
        <f t="shared" si="77"/>
        <v>86483 0 0 1 0</v>
      </c>
    </row>
    <row r="489" spans="3:22">
      <c r="C489">
        <v>10698</v>
      </c>
      <c r="D489">
        <f t="shared" si="78"/>
        <v>86715</v>
      </c>
      <c r="E489" cm="1">
        <f t="array" ref="E489">INDEX(C:C,MATCH(MIN(ABS(C:C-D489)),ABS(C:C-D489),0))</f>
        <v>86713</v>
      </c>
      <c r="G489">
        <f t="shared" ref="G489:G552" si="80">E489-E488</f>
        <v>230</v>
      </c>
      <c r="L489">
        <v>1</v>
      </c>
      <c r="M489">
        <v>0</v>
      </c>
      <c r="N489">
        <v>0</v>
      </c>
      <c r="O489">
        <v>0</v>
      </c>
      <c r="P489" t="str">
        <f t="shared" si="79"/>
        <v>86713 1 0 0 0</v>
      </c>
      <c r="R489">
        <v>1</v>
      </c>
      <c r="S489">
        <v>0</v>
      </c>
      <c r="T489">
        <v>0</v>
      </c>
      <c r="U489">
        <v>0</v>
      </c>
      <c r="V489" t="str">
        <f t="shared" si="77"/>
        <v>86713 1 0 0 0</v>
      </c>
    </row>
    <row r="490" spans="3:22">
      <c r="C490">
        <v>10721</v>
      </c>
      <c r="D490">
        <f t="shared" si="78"/>
        <v>86942</v>
      </c>
      <c r="E490" cm="1">
        <f t="array" ref="E490">INDEX(C:C,MATCH(MIN(ABS(C:C-D490)),ABS(C:C-D490),0))</f>
        <v>86944</v>
      </c>
      <c r="G490">
        <f t="shared" si="80"/>
        <v>231</v>
      </c>
      <c r="L490">
        <v>1</v>
      </c>
      <c r="M490">
        <v>0</v>
      </c>
      <c r="N490">
        <v>0</v>
      </c>
      <c r="O490">
        <v>1</v>
      </c>
      <c r="P490" t="str">
        <f t="shared" si="79"/>
        <v>86944 1 0 0 1</v>
      </c>
      <c r="R490">
        <v>1</v>
      </c>
      <c r="S490">
        <v>0</v>
      </c>
      <c r="T490">
        <v>0</v>
      </c>
      <c r="U490">
        <v>1</v>
      </c>
      <c r="V490" t="str">
        <f t="shared" si="77"/>
        <v>86944 1 0 0 1</v>
      </c>
    </row>
    <row r="491" spans="3:22">
      <c r="C491">
        <v>10744</v>
      </c>
      <c r="D491">
        <f t="shared" si="78"/>
        <v>87178</v>
      </c>
      <c r="E491" cm="1">
        <f t="array" ref="E491">INDEX(C:C,MATCH(MIN(ABS(C:C-D491)),ABS(C:C-D491),0))</f>
        <v>87175</v>
      </c>
      <c r="G491">
        <f t="shared" si="80"/>
        <v>231</v>
      </c>
      <c r="L491">
        <v>0</v>
      </c>
      <c r="M491">
        <v>1</v>
      </c>
      <c r="N491">
        <v>0</v>
      </c>
      <c r="O491">
        <v>0</v>
      </c>
      <c r="P491" t="str">
        <f t="shared" si="79"/>
        <v>87175 0 1 0 0</v>
      </c>
      <c r="R491">
        <v>0</v>
      </c>
      <c r="S491">
        <v>1</v>
      </c>
      <c r="T491">
        <v>0</v>
      </c>
      <c r="U491">
        <v>0</v>
      </c>
      <c r="V491" t="str">
        <f t="shared" si="77"/>
        <v>87175 0 1 0 0</v>
      </c>
    </row>
    <row r="492" spans="3:22">
      <c r="C492">
        <v>10767</v>
      </c>
      <c r="D492">
        <f t="shared" si="78"/>
        <v>87291</v>
      </c>
      <c r="E492" cm="1">
        <f t="array" ref="E492">INDEX(C:C,MATCH(MIN(ABS(C:C-D492)),ABS(C:C-D492),0))</f>
        <v>87290</v>
      </c>
      <c r="G492">
        <f t="shared" si="80"/>
        <v>115</v>
      </c>
      <c r="L492">
        <v>0</v>
      </c>
      <c r="M492">
        <v>1</v>
      </c>
      <c r="N492">
        <v>0</v>
      </c>
      <c r="O492">
        <v>0</v>
      </c>
      <c r="P492" t="str">
        <f t="shared" si="79"/>
        <v>87290 0 1 0 0</v>
      </c>
      <c r="R492">
        <v>0</v>
      </c>
      <c r="S492">
        <v>1</v>
      </c>
      <c r="T492">
        <v>0</v>
      </c>
      <c r="U492">
        <v>0</v>
      </c>
    </row>
    <row r="493" spans="3:22">
      <c r="C493">
        <v>10790</v>
      </c>
      <c r="D493">
        <f t="shared" si="78"/>
        <v>87398</v>
      </c>
      <c r="E493" cm="1">
        <f t="array" ref="E493">INDEX(C:C,MATCH(MIN(ABS(C:C-D493)),ABS(C:C-D493),0))</f>
        <v>87406</v>
      </c>
      <c r="G493">
        <f t="shared" si="80"/>
        <v>116</v>
      </c>
      <c r="L493">
        <v>0</v>
      </c>
      <c r="M493">
        <v>0</v>
      </c>
      <c r="N493">
        <v>1</v>
      </c>
      <c r="O493">
        <v>0</v>
      </c>
      <c r="P493" t="str">
        <f t="shared" si="79"/>
        <v>87406 0 0 1 0</v>
      </c>
      <c r="R493">
        <v>0</v>
      </c>
      <c r="S493">
        <v>0</v>
      </c>
      <c r="T493">
        <v>1</v>
      </c>
      <c r="U493">
        <v>0</v>
      </c>
      <c r="V493" t="str">
        <f t="shared" si="77"/>
        <v>87406 0 0 1 0</v>
      </c>
    </row>
    <row r="494" spans="3:22">
      <c r="C494">
        <v>10813</v>
      </c>
      <c r="D494">
        <f t="shared" si="78"/>
        <v>87514</v>
      </c>
      <c r="E494" cm="1">
        <f t="array" ref="E494">INDEX(C:C,MATCH(MIN(ABS(C:C-D494)),ABS(C:C-D494),0))</f>
        <v>87521</v>
      </c>
      <c r="G494">
        <f t="shared" si="80"/>
        <v>115</v>
      </c>
      <c r="L494">
        <v>0</v>
      </c>
      <c r="M494">
        <v>1</v>
      </c>
      <c r="N494">
        <v>0</v>
      </c>
      <c r="O494">
        <v>0</v>
      </c>
      <c r="P494" t="str">
        <f t="shared" si="79"/>
        <v>87521 0 1 0 0</v>
      </c>
      <c r="R494">
        <v>0</v>
      </c>
      <c r="S494">
        <v>1</v>
      </c>
      <c r="T494">
        <v>0</v>
      </c>
      <c r="U494">
        <v>0</v>
      </c>
      <c r="V494" t="str">
        <f t="shared" si="77"/>
        <v>87521 0 1 0 0</v>
      </c>
    </row>
    <row r="495" spans="3:22">
      <c r="C495">
        <v>10837</v>
      </c>
      <c r="D495">
        <f t="shared" si="78"/>
        <v>87629</v>
      </c>
      <c r="E495" cm="1">
        <f t="array" ref="E495">INDEX(C:C,MATCH(MIN(ABS(C:C-D495)),ABS(C:C-D495),0))</f>
        <v>87637</v>
      </c>
      <c r="G495">
        <f t="shared" si="80"/>
        <v>116</v>
      </c>
      <c r="L495">
        <v>0</v>
      </c>
      <c r="M495">
        <v>1</v>
      </c>
      <c r="N495">
        <v>0</v>
      </c>
      <c r="O495">
        <v>0</v>
      </c>
      <c r="P495" t="str">
        <f t="shared" si="79"/>
        <v>87637 0 1 0 0</v>
      </c>
      <c r="R495">
        <v>0</v>
      </c>
      <c r="S495">
        <v>1</v>
      </c>
      <c r="T495">
        <v>0</v>
      </c>
      <c r="U495">
        <v>0</v>
      </c>
    </row>
    <row r="496" spans="3:22">
      <c r="C496">
        <v>10860</v>
      </c>
      <c r="D496">
        <f t="shared" si="78"/>
        <v>87860</v>
      </c>
      <c r="E496" cm="1">
        <f t="array" ref="E496">INDEX(C:C,MATCH(MIN(ABS(C:C-D496)),ABS(C:C-D496),0))</f>
        <v>87867</v>
      </c>
      <c r="G496">
        <f t="shared" si="80"/>
        <v>230</v>
      </c>
      <c r="L496">
        <v>0</v>
      </c>
      <c r="M496">
        <v>0</v>
      </c>
      <c r="N496">
        <v>1</v>
      </c>
      <c r="O496">
        <v>0</v>
      </c>
      <c r="P496" t="str">
        <f t="shared" si="79"/>
        <v>87867 0 0 1 0</v>
      </c>
      <c r="R496">
        <v>0</v>
      </c>
      <c r="S496">
        <v>0</v>
      </c>
      <c r="T496">
        <v>1</v>
      </c>
      <c r="U496">
        <v>0</v>
      </c>
      <c r="V496" t="str">
        <f t="shared" si="77"/>
        <v>87867 0 0 1 0</v>
      </c>
    </row>
    <row r="497" spans="3:22">
      <c r="C497">
        <v>10883</v>
      </c>
      <c r="D497">
        <f t="shared" si="78"/>
        <v>87977</v>
      </c>
      <c r="E497" cm="1">
        <f t="array" ref="E497">INDEX(C:C,MATCH(MIN(ABS(C:C-D497)),ABS(C:C-D497),0))</f>
        <v>87983</v>
      </c>
      <c r="G497">
        <f t="shared" si="80"/>
        <v>116</v>
      </c>
      <c r="L497">
        <v>0</v>
      </c>
      <c r="M497">
        <v>1</v>
      </c>
      <c r="N497">
        <v>0</v>
      </c>
      <c r="O497">
        <v>0</v>
      </c>
      <c r="P497" t="str">
        <f t="shared" si="79"/>
        <v>87983 0 1 0 0</v>
      </c>
      <c r="R497">
        <v>0</v>
      </c>
      <c r="S497">
        <v>1</v>
      </c>
      <c r="T497">
        <v>0</v>
      </c>
      <c r="U497">
        <v>0</v>
      </c>
      <c r="V497" t="str">
        <f t="shared" si="77"/>
        <v>87983 0 1 0 0</v>
      </c>
    </row>
    <row r="498" spans="3:22">
      <c r="C498">
        <v>10906</v>
      </c>
      <c r="D498">
        <f t="shared" si="78"/>
        <v>88206</v>
      </c>
      <c r="E498" cm="1">
        <f t="array" ref="E498">INDEX(C:C,MATCH(MIN(ABS(C:C-D498)),ABS(C:C-D498),0))</f>
        <v>88213</v>
      </c>
      <c r="G498">
        <f t="shared" si="80"/>
        <v>230</v>
      </c>
      <c r="L498">
        <v>0</v>
      </c>
      <c r="M498">
        <v>0</v>
      </c>
      <c r="N498">
        <v>1</v>
      </c>
      <c r="O498">
        <v>0</v>
      </c>
      <c r="P498" t="str">
        <f t="shared" si="79"/>
        <v>88213 0 0 1 0</v>
      </c>
      <c r="R498">
        <v>0</v>
      </c>
      <c r="S498">
        <v>0</v>
      </c>
      <c r="T498">
        <v>1</v>
      </c>
      <c r="U498">
        <v>0</v>
      </c>
      <c r="V498" t="str">
        <f t="shared" si="77"/>
        <v>88213 0 0 1 0</v>
      </c>
    </row>
    <row r="499" spans="3:22">
      <c r="C499">
        <v>10929</v>
      </c>
      <c r="D499">
        <f t="shared" si="78"/>
        <v>88324</v>
      </c>
      <c r="E499" cm="1">
        <f t="array" ref="E499">INDEX(C:C,MATCH(MIN(ABS(C:C-D499)),ABS(C:C-D499),0))</f>
        <v>88329</v>
      </c>
      <c r="G499">
        <f t="shared" si="80"/>
        <v>116</v>
      </c>
      <c r="L499">
        <v>0</v>
      </c>
      <c r="M499">
        <v>1</v>
      </c>
      <c r="N499">
        <v>0</v>
      </c>
      <c r="O499">
        <v>0</v>
      </c>
      <c r="P499" t="str">
        <f t="shared" si="79"/>
        <v>88329 0 1 0 0</v>
      </c>
      <c r="R499">
        <v>0</v>
      </c>
      <c r="S499">
        <v>1</v>
      </c>
      <c r="T499">
        <v>0</v>
      </c>
      <c r="U499">
        <v>0</v>
      </c>
      <c r="V499" t="str">
        <f t="shared" si="77"/>
        <v>88329 0 1 0 0</v>
      </c>
    </row>
    <row r="500" spans="3:22">
      <c r="C500">
        <v>10952</v>
      </c>
      <c r="D500">
        <f t="shared" si="78"/>
        <v>88561</v>
      </c>
      <c r="E500" cm="1">
        <f t="array" ref="E500">INDEX(C:C,MATCH(MIN(ABS(C:C-D500)),ABS(C:C-D500),0))</f>
        <v>88560</v>
      </c>
      <c r="G500">
        <f t="shared" si="80"/>
        <v>231</v>
      </c>
      <c r="L500">
        <v>0</v>
      </c>
      <c r="M500">
        <v>0</v>
      </c>
      <c r="N500">
        <v>0</v>
      </c>
      <c r="O500">
        <v>1</v>
      </c>
      <c r="P500" t="str">
        <f t="shared" si="79"/>
        <v>88560 0 0 0 1</v>
      </c>
      <c r="R500">
        <v>0</v>
      </c>
      <c r="S500">
        <v>0</v>
      </c>
      <c r="T500">
        <v>0</v>
      </c>
      <c r="U500">
        <v>1</v>
      </c>
      <c r="V500" t="str">
        <f t="shared" si="77"/>
        <v>88560 0 0 0 1</v>
      </c>
    </row>
    <row r="501" spans="3:22">
      <c r="C501">
        <v>10975</v>
      </c>
      <c r="D501">
        <f t="shared" si="78"/>
        <v>88788</v>
      </c>
      <c r="E501" cm="1">
        <f t="array" ref="E501">INDEX(C:C,MATCH(MIN(ABS(C:C-D501)),ABS(C:C-D501),0))</f>
        <v>88790</v>
      </c>
      <c r="G501">
        <f t="shared" si="80"/>
        <v>230</v>
      </c>
      <c r="L501">
        <v>0</v>
      </c>
      <c r="M501">
        <v>0</v>
      </c>
      <c r="N501">
        <v>0</v>
      </c>
      <c r="O501">
        <v>1</v>
      </c>
      <c r="P501" t="str">
        <f t="shared" si="79"/>
        <v>88790 0 0 0 1</v>
      </c>
      <c r="R501">
        <v>0</v>
      </c>
      <c r="S501">
        <v>0</v>
      </c>
      <c r="T501">
        <v>0</v>
      </c>
      <c r="U501">
        <v>1</v>
      </c>
      <c r="V501" t="str">
        <f t="shared" si="77"/>
        <v>88790 0 0 0 1</v>
      </c>
    </row>
    <row r="502" spans="3:22">
      <c r="C502">
        <v>10998</v>
      </c>
      <c r="D502">
        <f t="shared" si="78"/>
        <v>89024</v>
      </c>
      <c r="E502" cm="1">
        <f t="array" ref="E502">INDEX(C:C,MATCH(MIN(ABS(C:C-D502)),ABS(C:C-D502),0))</f>
        <v>89021</v>
      </c>
      <c r="G502">
        <f t="shared" si="80"/>
        <v>231</v>
      </c>
      <c r="L502">
        <v>0</v>
      </c>
      <c r="M502">
        <v>0</v>
      </c>
      <c r="N502">
        <v>1</v>
      </c>
      <c r="O502">
        <v>0</v>
      </c>
      <c r="P502" t="str">
        <f t="shared" si="79"/>
        <v>89021 0 0 1 0</v>
      </c>
      <c r="R502">
        <v>0</v>
      </c>
      <c r="S502">
        <v>0</v>
      </c>
      <c r="T502">
        <v>1</v>
      </c>
      <c r="U502">
        <v>0</v>
      </c>
      <c r="V502" t="str">
        <f t="shared" si="77"/>
        <v>89021 0 0 1 0</v>
      </c>
    </row>
    <row r="503" spans="3:22">
      <c r="C503">
        <v>11021</v>
      </c>
      <c r="D503">
        <f t="shared" si="78"/>
        <v>89137</v>
      </c>
      <c r="E503" cm="1">
        <f t="array" ref="E503">INDEX(C:C,MATCH(MIN(ABS(C:C-D503)),ABS(C:C-D503),0))</f>
        <v>89137</v>
      </c>
      <c r="G503">
        <f t="shared" si="80"/>
        <v>116</v>
      </c>
      <c r="L503">
        <v>0</v>
      </c>
      <c r="M503">
        <v>0</v>
      </c>
      <c r="N503">
        <v>1</v>
      </c>
      <c r="O503">
        <v>0</v>
      </c>
      <c r="P503" t="str">
        <f t="shared" si="79"/>
        <v>89137 0 0 1 0</v>
      </c>
      <c r="R503">
        <v>0</v>
      </c>
      <c r="S503">
        <v>0</v>
      </c>
      <c r="T503">
        <v>1</v>
      </c>
      <c r="U503">
        <v>0</v>
      </c>
    </row>
    <row r="504" spans="3:22">
      <c r="C504">
        <v>11044</v>
      </c>
      <c r="D504">
        <f t="shared" si="78"/>
        <v>89244</v>
      </c>
      <c r="E504" cm="1">
        <f t="array" ref="E504">INDEX(C:C,MATCH(MIN(ABS(C:C-D504)),ABS(C:C-D504),0))</f>
        <v>89252</v>
      </c>
      <c r="G504">
        <f t="shared" si="80"/>
        <v>115</v>
      </c>
      <c r="L504">
        <v>0</v>
      </c>
      <c r="M504">
        <v>1</v>
      </c>
      <c r="N504">
        <v>0</v>
      </c>
      <c r="O504">
        <v>0</v>
      </c>
      <c r="P504" t="str">
        <f t="shared" si="79"/>
        <v>89252 0 1 0 0</v>
      </c>
      <c r="R504">
        <v>0</v>
      </c>
      <c r="S504">
        <v>1</v>
      </c>
      <c r="T504">
        <v>0</v>
      </c>
      <c r="U504">
        <v>0</v>
      </c>
      <c r="V504" t="str">
        <f t="shared" si="77"/>
        <v>89252 0 1 0 0</v>
      </c>
    </row>
    <row r="505" spans="3:22">
      <c r="C505">
        <v>11067</v>
      </c>
      <c r="D505">
        <f t="shared" si="78"/>
        <v>89360</v>
      </c>
      <c r="E505" cm="1">
        <f t="array" ref="E505">INDEX(C:C,MATCH(MIN(ABS(C:C-D505)),ABS(C:C-D505),0))</f>
        <v>89367</v>
      </c>
      <c r="G505">
        <f t="shared" si="80"/>
        <v>115</v>
      </c>
      <c r="L505">
        <v>0</v>
      </c>
      <c r="M505">
        <v>0</v>
      </c>
      <c r="N505">
        <v>1</v>
      </c>
      <c r="O505">
        <v>0</v>
      </c>
      <c r="P505" t="str">
        <f t="shared" si="79"/>
        <v>89367 0 0 1 0</v>
      </c>
      <c r="R505">
        <v>0</v>
      </c>
      <c r="S505">
        <v>0</v>
      </c>
      <c r="T505">
        <v>1</v>
      </c>
      <c r="U505">
        <v>0</v>
      </c>
      <c r="V505" t="str">
        <f t="shared" ref="V505:V523" si="81">E505&amp;" "&amp;R505&amp;" "&amp;S505&amp;" "&amp;T505&amp;" "&amp;U505</f>
        <v>89367 0 0 1 0</v>
      </c>
    </row>
    <row r="506" spans="3:22">
      <c r="C506">
        <v>11090</v>
      </c>
      <c r="D506">
        <f t="shared" si="78"/>
        <v>89475</v>
      </c>
      <c r="E506" cm="1">
        <f t="array" ref="E506">INDEX(C:C,MATCH(MIN(ABS(C:C-D506)),ABS(C:C-D506),0))</f>
        <v>89483</v>
      </c>
      <c r="G506">
        <f t="shared" si="80"/>
        <v>116</v>
      </c>
      <c r="L506">
        <v>0</v>
      </c>
      <c r="M506">
        <v>0</v>
      </c>
      <c r="N506">
        <v>1</v>
      </c>
      <c r="O506">
        <v>0</v>
      </c>
      <c r="P506" t="str">
        <f t="shared" si="79"/>
        <v>89483 0 0 1 0</v>
      </c>
      <c r="R506">
        <v>0</v>
      </c>
      <c r="S506">
        <v>0</v>
      </c>
      <c r="T506">
        <v>1</v>
      </c>
      <c r="U506">
        <v>0</v>
      </c>
    </row>
    <row r="507" spans="3:22">
      <c r="C507">
        <v>11113</v>
      </c>
      <c r="D507">
        <f t="shared" si="78"/>
        <v>89706</v>
      </c>
      <c r="E507" cm="1">
        <f t="array" ref="E507">INDEX(C:C,MATCH(MIN(ABS(C:C-D507)),ABS(C:C-D507),0))</f>
        <v>89713</v>
      </c>
      <c r="G507">
        <f t="shared" si="80"/>
        <v>230</v>
      </c>
      <c r="L507">
        <v>0</v>
      </c>
      <c r="M507">
        <v>1</v>
      </c>
      <c r="N507">
        <v>0</v>
      </c>
      <c r="O507">
        <v>0</v>
      </c>
      <c r="P507" t="str">
        <f t="shared" si="79"/>
        <v>89713 0 1 0 0</v>
      </c>
      <c r="R507">
        <v>0</v>
      </c>
      <c r="S507">
        <v>1</v>
      </c>
      <c r="T507">
        <v>0</v>
      </c>
      <c r="U507">
        <v>0</v>
      </c>
      <c r="V507" t="str">
        <f t="shared" si="81"/>
        <v>89713 0 1 0 0</v>
      </c>
    </row>
    <row r="508" spans="3:22">
      <c r="C508">
        <v>11137</v>
      </c>
      <c r="D508">
        <f t="shared" si="78"/>
        <v>89823</v>
      </c>
      <c r="E508" cm="1">
        <f t="array" ref="E508">INDEX(C:C,MATCH(MIN(ABS(C:C-D508)),ABS(C:C-D508),0))</f>
        <v>89829</v>
      </c>
      <c r="G508">
        <f t="shared" si="80"/>
        <v>116</v>
      </c>
      <c r="L508">
        <v>0</v>
      </c>
      <c r="M508">
        <v>0</v>
      </c>
      <c r="N508">
        <v>1</v>
      </c>
      <c r="O508">
        <v>0</v>
      </c>
      <c r="P508" t="str">
        <f t="shared" si="79"/>
        <v>89829 0 0 1 0</v>
      </c>
      <c r="R508">
        <v>0</v>
      </c>
      <c r="S508">
        <v>0</v>
      </c>
      <c r="T508">
        <v>1</v>
      </c>
      <c r="U508">
        <v>0</v>
      </c>
      <c r="V508" t="str">
        <f t="shared" si="81"/>
        <v>89829 0 0 1 0</v>
      </c>
    </row>
    <row r="509" spans="3:22">
      <c r="C509">
        <v>11160</v>
      </c>
      <c r="D509">
        <f t="shared" si="78"/>
        <v>90052</v>
      </c>
      <c r="E509" cm="1">
        <f t="array" ref="E509">INDEX(C:C,MATCH(MIN(ABS(C:C-D509)),ABS(C:C-D509),0))</f>
        <v>90060</v>
      </c>
      <c r="G509">
        <f t="shared" si="80"/>
        <v>231</v>
      </c>
      <c r="L509">
        <v>0</v>
      </c>
      <c r="M509">
        <v>1</v>
      </c>
      <c r="N509">
        <v>0</v>
      </c>
      <c r="O509">
        <v>0</v>
      </c>
      <c r="P509" t="str">
        <f t="shared" si="79"/>
        <v>90060 0 1 0 0</v>
      </c>
      <c r="R509">
        <v>0</v>
      </c>
      <c r="S509">
        <v>1</v>
      </c>
      <c r="T509">
        <v>0</v>
      </c>
      <c r="U509">
        <v>0</v>
      </c>
      <c r="V509" t="str">
        <f t="shared" si="81"/>
        <v>90060 0 1 0 0</v>
      </c>
    </row>
    <row r="510" spans="3:22">
      <c r="C510">
        <v>11183</v>
      </c>
      <c r="D510">
        <f t="shared" si="78"/>
        <v>90170</v>
      </c>
      <c r="E510" cm="1">
        <f t="array" ref="E510">INDEX(C:C,MATCH(MIN(ABS(C:C-D510)),ABS(C:C-D510),0))</f>
        <v>90175</v>
      </c>
      <c r="G510">
        <f t="shared" si="80"/>
        <v>115</v>
      </c>
      <c r="L510">
        <v>0</v>
      </c>
      <c r="M510">
        <v>0</v>
      </c>
      <c r="N510">
        <v>1</v>
      </c>
      <c r="O510">
        <v>0</v>
      </c>
      <c r="P510" t="str">
        <f t="shared" si="79"/>
        <v>90175 0 0 1 0</v>
      </c>
      <c r="R510">
        <v>0</v>
      </c>
      <c r="S510">
        <v>0</v>
      </c>
      <c r="T510">
        <v>1</v>
      </c>
      <c r="U510">
        <v>0</v>
      </c>
      <c r="V510" t="str">
        <f t="shared" si="81"/>
        <v>90175 0 0 1 0</v>
      </c>
    </row>
    <row r="511" spans="3:22">
      <c r="C511">
        <v>11206</v>
      </c>
      <c r="D511">
        <f t="shared" si="78"/>
        <v>90407</v>
      </c>
      <c r="E511" cm="1">
        <f t="array" ref="E511">INDEX(C:C,MATCH(MIN(ABS(C:C-D511)),ABS(C:C-D511),0))</f>
        <v>90406</v>
      </c>
      <c r="G511">
        <f t="shared" si="80"/>
        <v>231</v>
      </c>
      <c r="L511">
        <v>1</v>
      </c>
      <c r="M511">
        <v>0</v>
      </c>
      <c r="N511">
        <v>0</v>
      </c>
      <c r="O511">
        <v>0</v>
      </c>
      <c r="P511" t="str">
        <f t="shared" si="79"/>
        <v>90406 1 0 0 0</v>
      </c>
      <c r="R511">
        <v>1</v>
      </c>
      <c r="S511">
        <v>0</v>
      </c>
      <c r="T511">
        <v>0</v>
      </c>
      <c r="U511">
        <v>0</v>
      </c>
      <c r="V511" t="str">
        <f t="shared" si="81"/>
        <v>90406 1 0 0 0</v>
      </c>
    </row>
    <row r="512" spans="3:22">
      <c r="C512">
        <v>11229</v>
      </c>
      <c r="D512">
        <f t="shared" si="78"/>
        <v>90634</v>
      </c>
      <c r="E512" cm="1">
        <f t="array" ref="E512">INDEX(C:C,MATCH(MIN(ABS(C:C-D512)),ABS(C:C-D512),0))</f>
        <v>90637</v>
      </c>
      <c r="G512">
        <f t="shared" si="80"/>
        <v>231</v>
      </c>
      <c r="L512">
        <v>1</v>
      </c>
      <c r="M512">
        <v>0</v>
      </c>
      <c r="N512">
        <v>0</v>
      </c>
      <c r="O512">
        <v>1</v>
      </c>
      <c r="P512" t="str">
        <f t="shared" si="79"/>
        <v>90637 1 0 0 1</v>
      </c>
      <c r="R512">
        <v>1</v>
      </c>
      <c r="S512">
        <v>0</v>
      </c>
      <c r="T512">
        <v>0</v>
      </c>
      <c r="U512">
        <v>1</v>
      </c>
      <c r="V512" t="str">
        <f t="shared" si="81"/>
        <v>90637 1 0 0 1</v>
      </c>
    </row>
    <row r="513" spans="1:22">
      <c r="C513">
        <v>11252</v>
      </c>
      <c r="D513">
        <f t="shared" si="78"/>
        <v>90870</v>
      </c>
      <c r="E513" cm="1">
        <f t="array" ref="E513">INDEX(C:C,MATCH(MIN(ABS(C:C-D513)),ABS(C:C-D513),0))</f>
        <v>90867</v>
      </c>
      <c r="G513">
        <f t="shared" si="80"/>
        <v>230</v>
      </c>
      <c r="L513">
        <v>0</v>
      </c>
      <c r="M513">
        <v>1</v>
      </c>
      <c r="N513">
        <v>0</v>
      </c>
      <c r="O513">
        <v>0</v>
      </c>
      <c r="P513" t="str">
        <f t="shared" si="79"/>
        <v>90867 0 1 0 0</v>
      </c>
      <c r="R513">
        <v>0</v>
      </c>
      <c r="S513">
        <v>1</v>
      </c>
      <c r="T513">
        <v>0</v>
      </c>
      <c r="U513">
        <v>0</v>
      </c>
      <c r="V513" t="str">
        <f t="shared" si="81"/>
        <v>90867 0 1 0 0</v>
      </c>
    </row>
    <row r="514" spans="1:22">
      <c r="C514">
        <v>11275</v>
      </c>
      <c r="D514">
        <f t="shared" si="78"/>
        <v>90983</v>
      </c>
      <c r="E514" cm="1">
        <f t="array" ref="E514">INDEX(C:C,MATCH(MIN(ABS(C:C-D514)),ABS(C:C-D514),0))</f>
        <v>90983</v>
      </c>
      <c r="G514">
        <f t="shared" si="80"/>
        <v>116</v>
      </c>
      <c r="L514">
        <v>0</v>
      </c>
      <c r="M514">
        <v>1</v>
      </c>
      <c r="N514">
        <v>0</v>
      </c>
      <c r="O514">
        <v>0</v>
      </c>
      <c r="P514" t="str">
        <f t="shared" si="79"/>
        <v>90983 0 1 0 0</v>
      </c>
      <c r="R514">
        <v>0</v>
      </c>
      <c r="S514">
        <v>1</v>
      </c>
      <c r="T514">
        <v>0</v>
      </c>
      <c r="U514">
        <v>0</v>
      </c>
    </row>
    <row r="515" spans="1:22">
      <c r="C515">
        <v>11298</v>
      </c>
      <c r="D515">
        <f t="shared" si="78"/>
        <v>91090</v>
      </c>
      <c r="E515" cm="1">
        <f t="array" ref="E515">INDEX(C:C,MATCH(MIN(ABS(C:C-D515)),ABS(C:C-D515),0))</f>
        <v>91098</v>
      </c>
      <c r="G515">
        <f t="shared" si="80"/>
        <v>115</v>
      </c>
      <c r="L515">
        <v>0</v>
      </c>
      <c r="M515">
        <v>0</v>
      </c>
      <c r="N515">
        <v>1</v>
      </c>
      <c r="O515">
        <v>0</v>
      </c>
      <c r="P515" t="str">
        <f t="shared" si="79"/>
        <v>91098 0 0 1 0</v>
      </c>
      <c r="R515">
        <v>0</v>
      </c>
      <c r="S515">
        <v>0</v>
      </c>
      <c r="T515">
        <v>1</v>
      </c>
      <c r="U515">
        <v>0</v>
      </c>
      <c r="V515" t="str">
        <f t="shared" si="81"/>
        <v>91098 0 0 1 0</v>
      </c>
    </row>
    <row r="516" spans="1:22">
      <c r="C516">
        <v>11321</v>
      </c>
      <c r="D516">
        <f t="shared" si="78"/>
        <v>91206</v>
      </c>
      <c r="E516" cm="1">
        <f t="array" ref="E516">INDEX(C:C,MATCH(MIN(ABS(C:C-D516)),ABS(C:C-D516),0))</f>
        <v>91213</v>
      </c>
      <c r="G516">
        <f t="shared" si="80"/>
        <v>115</v>
      </c>
      <c r="L516">
        <v>0</v>
      </c>
      <c r="M516">
        <v>1</v>
      </c>
      <c r="N516">
        <v>0</v>
      </c>
      <c r="O516">
        <v>0</v>
      </c>
      <c r="P516" t="str">
        <f t="shared" si="79"/>
        <v>91213 0 1 0 0</v>
      </c>
      <c r="R516">
        <v>0</v>
      </c>
      <c r="S516">
        <v>1</v>
      </c>
      <c r="T516">
        <v>0</v>
      </c>
      <c r="U516">
        <v>0</v>
      </c>
      <c r="V516" t="str">
        <f t="shared" si="81"/>
        <v>91213 0 1 0 0</v>
      </c>
    </row>
    <row r="517" spans="1:22">
      <c r="C517">
        <v>11344</v>
      </c>
      <c r="D517">
        <f t="shared" si="78"/>
        <v>91321</v>
      </c>
      <c r="E517" cm="1">
        <f t="array" ref="E517">INDEX(C:C,MATCH(MIN(ABS(C:C-D517)),ABS(C:C-D517),0))</f>
        <v>91329</v>
      </c>
      <c r="G517">
        <f t="shared" si="80"/>
        <v>116</v>
      </c>
      <c r="L517">
        <v>0</v>
      </c>
      <c r="M517">
        <v>1</v>
      </c>
      <c r="N517">
        <v>0</v>
      </c>
      <c r="O517">
        <v>0</v>
      </c>
      <c r="P517" t="str">
        <f t="shared" si="79"/>
        <v>91329 0 1 0 0</v>
      </c>
      <c r="R517">
        <v>0</v>
      </c>
      <c r="S517">
        <v>1</v>
      </c>
      <c r="T517">
        <v>0</v>
      </c>
      <c r="U517">
        <v>0</v>
      </c>
    </row>
    <row r="518" spans="1:22">
      <c r="C518">
        <v>11367</v>
      </c>
      <c r="D518">
        <f t="shared" si="78"/>
        <v>91552</v>
      </c>
      <c r="E518" cm="1">
        <f t="array" ref="E518">INDEX(C:C,MATCH(MIN(ABS(C:C-D518)),ABS(C:C-D518),0))</f>
        <v>91560</v>
      </c>
      <c r="G518">
        <f t="shared" si="80"/>
        <v>231</v>
      </c>
      <c r="L518">
        <v>0</v>
      </c>
      <c r="M518">
        <v>0</v>
      </c>
      <c r="N518">
        <v>1</v>
      </c>
      <c r="O518">
        <v>0</v>
      </c>
      <c r="P518" t="str">
        <f t="shared" si="79"/>
        <v>91560 0 0 1 0</v>
      </c>
      <c r="R518">
        <v>0</v>
      </c>
      <c r="S518">
        <v>0</v>
      </c>
      <c r="T518">
        <v>1</v>
      </c>
      <c r="U518">
        <v>0</v>
      </c>
      <c r="V518" t="str">
        <f t="shared" si="81"/>
        <v>91560 0 0 1 0</v>
      </c>
    </row>
    <row r="519" spans="1:22">
      <c r="C519">
        <v>11390</v>
      </c>
      <c r="D519">
        <f t="shared" si="78"/>
        <v>91669</v>
      </c>
      <c r="E519" cm="1">
        <f t="array" ref="E519">INDEX(C:C,MATCH(MIN(ABS(C:C-D519)),ABS(C:C-D519),0))</f>
        <v>91675</v>
      </c>
      <c r="G519">
        <f t="shared" si="80"/>
        <v>115</v>
      </c>
      <c r="L519">
        <v>0</v>
      </c>
      <c r="M519">
        <v>0</v>
      </c>
      <c r="N519">
        <v>1</v>
      </c>
      <c r="O519">
        <v>0</v>
      </c>
      <c r="P519" t="str">
        <f t="shared" si="79"/>
        <v>91675 0 0 1 0</v>
      </c>
      <c r="R519">
        <v>0</v>
      </c>
      <c r="S519">
        <v>0</v>
      </c>
      <c r="T519">
        <v>1</v>
      </c>
      <c r="U519">
        <v>0</v>
      </c>
    </row>
    <row r="520" spans="1:22">
      <c r="C520">
        <v>11413</v>
      </c>
      <c r="D520">
        <f t="shared" si="78"/>
        <v>91782</v>
      </c>
      <c r="E520" cm="1">
        <f t="array" ref="E520">INDEX(C:C,MATCH(MIN(ABS(C:C-D520)),ABS(C:C-D520),0))</f>
        <v>91790</v>
      </c>
      <c r="G520">
        <f t="shared" si="80"/>
        <v>115</v>
      </c>
      <c r="L520">
        <v>0</v>
      </c>
      <c r="M520">
        <v>0</v>
      </c>
      <c r="N520">
        <v>1</v>
      </c>
      <c r="O520">
        <v>0</v>
      </c>
      <c r="P520" t="str">
        <f t="shared" si="79"/>
        <v>91790 0 0 1 0</v>
      </c>
      <c r="R520">
        <v>0</v>
      </c>
      <c r="S520">
        <v>0</v>
      </c>
      <c r="T520">
        <v>1</v>
      </c>
      <c r="U520">
        <v>0</v>
      </c>
      <c r="V520" t="str">
        <f t="shared" si="81"/>
        <v>91790 0 0 1 0</v>
      </c>
    </row>
    <row r="521" spans="1:22">
      <c r="C521">
        <v>11437</v>
      </c>
      <c r="D521">
        <f t="shared" si="78"/>
        <v>91901</v>
      </c>
      <c r="E521" cm="1">
        <f t="array" ref="E521">INDEX(C:C,MATCH(MIN(ABS(C:C-D521)),ABS(C:C-D521),0))</f>
        <v>91906</v>
      </c>
      <c r="G521">
        <f t="shared" si="80"/>
        <v>116</v>
      </c>
      <c r="L521">
        <v>0</v>
      </c>
      <c r="M521">
        <v>0</v>
      </c>
      <c r="N521">
        <v>1</v>
      </c>
      <c r="O521">
        <v>0</v>
      </c>
      <c r="P521" t="str">
        <f t="shared" si="79"/>
        <v>91906 0 0 1 0</v>
      </c>
      <c r="R521">
        <v>0</v>
      </c>
      <c r="S521">
        <v>0</v>
      </c>
      <c r="T521">
        <v>1</v>
      </c>
      <c r="U521">
        <v>0</v>
      </c>
    </row>
    <row r="522" spans="1:22">
      <c r="C522">
        <v>11460</v>
      </c>
      <c r="D522">
        <f t="shared" si="78"/>
        <v>92020</v>
      </c>
      <c r="E522" cm="1">
        <f t="array" ref="E522">INDEX(C:C,MATCH(MIN(ABS(C:C-D522)),ABS(C:C-D522),0))</f>
        <v>92021</v>
      </c>
      <c r="G522">
        <f t="shared" si="80"/>
        <v>115</v>
      </c>
      <c r="L522">
        <v>0</v>
      </c>
      <c r="M522">
        <v>1</v>
      </c>
      <c r="N522">
        <v>0</v>
      </c>
      <c r="O522">
        <v>0</v>
      </c>
      <c r="P522" t="str">
        <f t="shared" si="79"/>
        <v>92021 0 1 0 0</v>
      </c>
      <c r="R522">
        <v>0</v>
      </c>
      <c r="S522">
        <v>1</v>
      </c>
      <c r="T522">
        <v>0</v>
      </c>
      <c r="U522">
        <v>0</v>
      </c>
      <c r="V522" t="str">
        <f t="shared" si="81"/>
        <v>92021 0 1 0 0</v>
      </c>
    </row>
    <row r="523" spans="1:22">
      <c r="C523">
        <v>11483</v>
      </c>
      <c r="D523">
        <f t="shared" si="78"/>
        <v>92248</v>
      </c>
      <c r="E523" cm="1">
        <f t="array" ref="E523">INDEX(C:C,MATCH(MIN(ABS(C:C-D523)),ABS(C:C-D523),0))</f>
        <v>92252</v>
      </c>
      <c r="G523">
        <f t="shared" si="80"/>
        <v>231</v>
      </c>
      <c r="L523">
        <v>0</v>
      </c>
      <c r="M523">
        <v>0</v>
      </c>
      <c r="N523">
        <v>0</v>
      </c>
      <c r="O523">
        <v>1</v>
      </c>
      <c r="P523" t="str">
        <f t="shared" si="79"/>
        <v>92252 0 0 0 1</v>
      </c>
      <c r="R523">
        <v>0</v>
      </c>
      <c r="S523">
        <v>0</v>
      </c>
      <c r="T523">
        <v>0</v>
      </c>
      <c r="U523">
        <v>1</v>
      </c>
      <c r="V523" t="str">
        <f t="shared" si="81"/>
        <v>92252 0 0 0 1</v>
      </c>
    </row>
    <row r="524" spans="1:22">
      <c r="A524" t="s">
        <v>99</v>
      </c>
      <c r="C524">
        <v>11506</v>
      </c>
      <c r="D524">
        <f>ROUND(D1+6000/26*400,0)</f>
        <v>92483</v>
      </c>
      <c r="E524" cm="1">
        <f t="array" ref="E524">INDEX(C:C,MATCH(MIN(ABS(C:C-D524)),ABS(C:C-D524),0))</f>
        <v>92483</v>
      </c>
      <c r="G524">
        <f t="shared" si="80"/>
        <v>231</v>
      </c>
      <c r="H524">
        <v>1</v>
      </c>
      <c r="I524">
        <v>2</v>
      </c>
      <c r="J524">
        <v>3</v>
      </c>
      <c r="K524">
        <v>4</v>
      </c>
      <c r="L524" cm="1">
        <f t="array" ref="L524:O524">_xlfn.SORTBY($R$3:$U$3,H524:K524)</f>
        <v>0</v>
      </c>
      <c r="M524">
        <v>0</v>
      </c>
      <c r="N524">
        <v>1</v>
      </c>
      <c r="O524">
        <v>1</v>
      </c>
      <c r="P524" t="str">
        <f t="shared" si="79"/>
        <v>92483 0 0 1 1</v>
      </c>
      <c r="R524">
        <v>0</v>
      </c>
      <c r="S524">
        <v>0</v>
      </c>
      <c r="T524">
        <v>1</v>
      </c>
      <c r="U524">
        <v>1</v>
      </c>
      <c r="V524" t="str">
        <f t="shared" ref="V524:V555" si="82">E524&amp;" "&amp;R524&amp;" "&amp;S524&amp;" "&amp;T524&amp;" "&amp;U524</f>
        <v>92483 0 0 1 1</v>
      </c>
    </row>
    <row r="525" spans="1:22">
      <c r="C525">
        <v>11529</v>
      </c>
      <c r="D525">
        <f t="shared" ref="D525:D588" si="83">ROUND(D2+6000/26*400,0)</f>
        <v>92714</v>
      </c>
      <c r="E525" cm="1">
        <f t="array" ref="E525">INDEX(C:C,MATCH(MIN(ABS(C:C-D525)),ABS(C:C-D525),0))</f>
        <v>92713</v>
      </c>
      <c r="G525">
        <f t="shared" si="80"/>
        <v>230</v>
      </c>
      <c r="H525">
        <v>4</v>
      </c>
      <c r="I525">
        <v>3</v>
      </c>
      <c r="J525">
        <v>2</v>
      </c>
      <c r="K525">
        <v>1</v>
      </c>
      <c r="L525" cm="1">
        <f t="array" ref="L525:O525">_xlfn.SORTBY($R$4:$U$4,H525:K525)</f>
        <v>1</v>
      </c>
      <c r="M525">
        <v>0</v>
      </c>
      <c r="N525">
        <v>0</v>
      </c>
      <c r="O525">
        <v>0</v>
      </c>
      <c r="P525" t="str">
        <f t="shared" ref="P525:P556" si="84">E525&amp;" "&amp;L525&amp;" "&amp;M525&amp;" "&amp;N525&amp;" "&amp;O525</f>
        <v>92713 1 0 0 0</v>
      </c>
      <c r="R525">
        <v>1</v>
      </c>
      <c r="S525">
        <v>0</v>
      </c>
      <c r="T525">
        <v>0</v>
      </c>
      <c r="U525">
        <v>0</v>
      </c>
      <c r="V525" t="str">
        <f t="shared" si="82"/>
        <v>92713 1 0 0 0</v>
      </c>
    </row>
    <row r="526" spans="1:22">
      <c r="C526">
        <v>11552</v>
      </c>
      <c r="D526">
        <f t="shared" si="83"/>
        <v>92948</v>
      </c>
      <c r="E526" cm="1">
        <f t="array" ref="E526">INDEX(C:C,MATCH(MIN(ABS(C:C-D526)),ABS(C:C-D526),0))</f>
        <v>92944</v>
      </c>
      <c r="G526">
        <f t="shared" si="80"/>
        <v>231</v>
      </c>
      <c r="H526">
        <v>1</v>
      </c>
      <c r="I526">
        <v>3</v>
      </c>
      <c r="J526">
        <v>2</v>
      </c>
      <c r="K526">
        <v>4</v>
      </c>
      <c r="L526" cm="1">
        <f t="array" ref="L526:O526">_xlfn.SORTBY($R$4:$U$4,H526:K526)</f>
        <v>0</v>
      </c>
      <c r="M526">
        <v>0</v>
      </c>
      <c r="N526">
        <v>0</v>
      </c>
      <c r="O526">
        <v>1</v>
      </c>
      <c r="P526" t="str">
        <f t="shared" si="84"/>
        <v>92944 0 0 0 1</v>
      </c>
      <c r="R526">
        <v>0</v>
      </c>
      <c r="S526">
        <v>0</v>
      </c>
      <c r="T526">
        <v>0</v>
      </c>
      <c r="U526">
        <v>1</v>
      </c>
      <c r="V526" t="str">
        <f t="shared" si="82"/>
        <v>92944 0 0 0 1</v>
      </c>
    </row>
    <row r="527" spans="1:22">
      <c r="C527">
        <v>11575</v>
      </c>
      <c r="D527">
        <f t="shared" si="83"/>
        <v>93060</v>
      </c>
      <c r="E527" cm="1">
        <f t="array" ref="E527">INDEX(C:C,MATCH(MIN(ABS(C:C-D527)),ABS(C:C-D527),0))</f>
        <v>93060</v>
      </c>
      <c r="G527">
        <f t="shared" si="80"/>
        <v>116</v>
      </c>
      <c r="H527">
        <v>4</v>
      </c>
      <c r="I527">
        <v>2</v>
      </c>
      <c r="J527">
        <v>3</v>
      </c>
      <c r="K527">
        <v>1</v>
      </c>
      <c r="L527" cm="1">
        <f t="array" ref="L527:O527">_xlfn.SORTBY($R$4:$U$4,H527:K527)</f>
        <v>1</v>
      </c>
      <c r="M527">
        <v>0</v>
      </c>
      <c r="N527">
        <v>0</v>
      </c>
      <c r="O527">
        <v>0</v>
      </c>
      <c r="P527" t="str">
        <f t="shared" si="84"/>
        <v>93060 1 0 0 0</v>
      </c>
      <c r="R527">
        <v>1</v>
      </c>
      <c r="S527">
        <v>0</v>
      </c>
      <c r="T527">
        <v>0</v>
      </c>
      <c r="U527">
        <v>0</v>
      </c>
      <c r="V527" t="str">
        <f t="shared" si="82"/>
        <v>93060 1 0 0 0</v>
      </c>
    </row>
    <row r="528" spans="1:22">
      <c r="C528">
        <v>11598</v>
      </c>
      <c r="D528">
        <f t="shared" si="83"/>
        <v>93291</v>
      </c>
      <c r="E528" cm="1">
        <f t="array" ref="E528">INDEX(C:C,MATCH(MIN(ABS(C:C-D528)),ABS(C:C-D528),0))</f>
        <v>93290</v>
      </c>
      <c r="G528">
        <f t="shared" si="80"/>
        <v>230</v>
      </c>
      <c r="H528">
        <v>1</v>
      </c>
      <c r="I528">
        <v>4</v>
      </c>
      <c r="J528">
        <v>3</v>
      </c>
      <c r="K528">
        <v>2</v>
      </c>
      <c r="L528" cm="1">
        <f t="array" ref="L528:O528">_xlfn.SORTBY($R$4:$U$4,H528:K528)</f>
        <v>0</v>
      </c>
      <c r="M528">
        <v>1</v>
      </c>
      <c r="N528">
        <v>0</v>
      </c>
      <c r="O528">
        <v>0</v>
      </c>
      <c r="P528" t="str">
        <f t="shared" si="84"/>
        <v>93290 0 1 0 0</v>
      </c>
      <c r="R528">
        <v>0</v>
      </c>
      <c r="S528">
        <v>1</v>
      </c>
      <c r="T528">
        <v>0</v>
      </c>
      <c r="U528">
        <v>0</v>
      </c>
      <c r="V528" t="str">
        <f t="shared" si="82"/>
        <v>93290 0 1 0 0</v>
      </c>
    </row>
    <row r="529" spans="3:22">
      <c r="C529">
        <v>11621</v>
      </c>
      <c r="D529">
        <f t="shared" si="83"/>
        <v>93406</v>
      </c>
      <c r="E529" cm="1">
        <f t="array" ref="E529">INDEX(C:C,MATCH(MIN(ABS(C:C-D529)),ABS(C:C-D529),0))</f>
        <v>93406</v>
      </c>
      <c r="G529">
        <f t="shared" si="80"/>
        <v>116</v>
      </c>
      <c r="H529">
        <v>2</v>
      </c>
      <c r="I529">
        <v>3</v>
      </c>
      <c r="J529">
        <v>4</v>
      </c>
      <c r="K529">
        <v>1</v>
      </c>
      <c r="L529" cm="1">
        <f t="array" ref="L529:O529">_xlfn.SORTBY($R$4:$U$4,H529:K529)</f>
        <v>1</v>
      </c>
      <c r="M529">
        <v>0</v>
      </c>
      <c r="N529">
        <v>0</v>
      </c>
      <c r="O529">
        <v>0</v>
      </c>
      <c r="P529" t="str">
        <f t="shared" si="84"/>
        <v>93406 1 0 0 0</v>
      </c>
      <c r="R529">
        <v>1</v>
      </c>
      <c r="S529">
        <v>0</v>
      </c>
      <c r="T529">
        <v>0</v>
      </c>
      <c r="U529">
        <v>0</v>
      </c>
      <c r="V529" t="str">
        <f t="shared" si="82"/>
        <v>93406 1 0 0 0</v>
      </c>
    </row>
    <row r="530" spans="3:22">
      <c r="C530">
        <v>11644</v>
      </c>
      <c r="D530">
        <f t="shared" si="83"/>
        <v>93637</v>
      </c>
      <c r="E530" cm="1">
        <f t="array" ref="E530">INDEX(C:C,MATCH(MIN(ABS(C:C-D530)),ABS(C:C-D530),0))</f>
        <v>93637</v>
      </c>
      <c r="G530">
        <f t="shared" si="80"/>
        <v>231</v>
      </c>
      <c r="H530">
        <v>2</v>
      </c>
      <c r="I530">
        <v>1</v>
      </c>
      <c r="J530">
        <v>4</v>
      </c>
      <c r="K530">
        <v>3</v>
      </c>
      <c r="L530" cm="1">
        <f t="array" ref="L530:O530">_xlfn.SORTBY($R$4:$U$4,H530:K530)</f>
        <v>0</v>
      </c>
      <c r="M530">
        <v>0</v>
      </c>
      <c r="N530">
        <v>1</v>
      </c>
      <c r="O530">
        <v>0</v>
      </c>
      <c r="P530" t="str">
        <f t="shared" si="84"/>
        <v>93637 0 0 1 0</v>
      </c>
      <c r="R530">
        <v>0</v>
      </c>
      <c r="S530">
        <v>0</v>
      </c>
      <c r="T530">
        <v>1</v>
      </c>
      <c r="U530">
        <v>0</v>
      </c>
      <c r="V530" t="str">
        <f t="shared" si="82"/>
        <v>93637 0 0 1 0</v>
      </c>
    </row>
    <row r="531" spans="3:22">
      <c r="C531">
        <v>11667</v>
      </c>
      <c r="D531">
        <f t="shared" si="83"/>
        <v>93752</v>
      </c>
      <c r="E531" cm="1">
        <f t="array" ref="E531">INDEX(C:C,MATCH(MIN(ABS(C:C-D531)),ABS(C:C-D531),0))</f>
        <v>93752</v>
      </c>
      <c r="G531">
        <f t="shared" si="80"/>
        <v>115</v>
      </c>
      <c r="H531">
        <v>3</v>
      </c>
      <c r="I531">
        <v>4</v>
      </c>
      <c r="J531">
        <v>1</v>
      </c>
      <c r="K531">
        <v>2</v>
      </c>
      <c r="L531" cm="1">
        <f t="array" ref="L531:O531">_xlfn.SORTBY($R$4:$U$4,H531:K531)</f>
        <v>0</v>
      </c>
      <c r="M531">
        <v>1</v>
      </c>
      <c r="N531">
        <v>0</v>
      </c>
      <c r="O531">
        <v>0</v>
      </c>
      <c r="P531" t="str">
        <f t="shared" si="84"/>
        <v>93752 0 1 0 0</v>
      </c>
      <c r="R531">
        <v>0</v>
      </c>
      <c r="S531">
        <v>1</v>
      </c>
      <c r="T531">
        <v>0</v>
      </c>
      <c r="U531">
        <v>0</v>
      </c>
      <c r="V531" t="str">
        <f t="shared" si="82"/>
        <v>93752 0 1 0 0</v>
      </c>
    </row>
    <row r="532" spans="3:22">
      <c r="C532">
        <v>11690</v>
      </c>
      <c r="D532">
        <f t="shared" si="83"/>
        <v>93983</v>
      </c>
      <c r="E532" cm="1">
        <f t="array" ref="E532">INDEX(C:C,MATCH(MIN(ABS(C:C-D532)),ABS(C:C-D532),0))</f>
        <v>93983</v>
      </c>
      <c r="G532">
        <f t="shared" si="80"/>
        <v>231</v>
      </c>
      <c r="H532">
        <v>1</v>
      </c>
      <c r="I532">
        <v>3</v>
      </c>
      <c r="J532">
        <v>2</v>
      </c>
      <c r="K532">
        <v>4</v>
      </c>
      <c r="L532" cm="1">
        <f t="array" ref="L532:O532">_xlfn.SORTBY($R$4:$U$4,H532:K532)</f>
        <v>0</v>
      </c>
      <c r="M532">
        <v>0</v>
      </c>
      <c r="N532">
        <v>0</v>
      </c>
      <c r="O532">
        <v>1</v>
      </c>
      <c r="P532" t="str">
        <f t="shared" si="84"/>
        <v>93983 0 0 0 1</v>
      </c>
      <c r="R532">
        <v>0</v>
      </c>
      <c r="S532">
        <v>0</v>
      </c>
      <c r="T532">
        <v>0</v>
      </c>
      <c r="U532">
        <v>1</v>
      </c>
      <c r="V532" t="str">
        <f t="shared" si="82"/>
        <v>93983 0 0 0 1</v>
      </c>
    </row>
    <row r="533" spans="3:22">
      <c r="C533">
        <v>11713</v>
      </c>
      <c r="D533">
        <f t="shared" si="83"/>
        <v>94098</v>
      </c>
      <c r="E533" cm="1">
        <f t="array" ref="E533">INDEX(C:C,MATCH(MIN(ABS(C:C-D533)),ABS(C:C-D533),0))</f>
        <v>94098</v>
      </c>
      <c r="G533">
        <f t="shared" si="80"/>
        <v>115</v>
      </c>
      <c r="H533">
        <v>3</v>
      </c>
      <c r="I533">
        <v>2</v>
      </c>
      <c r="J533">
        <v>4</v>
      </c>
      <c r="K533">
        <v>1</v>
      </c>
      <c r="L533" cm="1">
        <f t="array" ref="L533:O533">_xlfn.SORTBY($R$4:$U$4,H533:K533)</f>
        <v>1</v>
      </c>
      <c r="M533">
        <v>0</v>
      </c>
      <c r="N533">
        <v>0</v>
      </c>
      <c r="O533">
        <v>0</v>
      </c>
      <c r="P533" t="str">
        <f t="shared" si="84"/>
        <v>94098 1 0 0 0</v>
      </c>
      <c r="R533">
        <v>1</v>
      </c>
      <c r="S533">
        <v>0</v>
      </c>
      <c r="T533">
        <v>0</v>
      </c>
      <c r="U533">
        <v>0</v>
      </c>
      <c r="V533" t="str">
        <f t="shared" si="82"/>
        <v>94098 1 0 0 0</v>
      </c>
    </row>
    <row r="534" spans="3:22">
      <c r="C534">
        <v>11737</v>
      </c>
      <c r="D534">
        <f t="shared" si="83"/>
        <v>94329</v>
      </c>
      <c r="E534" cm="1">
        <f t="array" ref="E534">INDEX(C:C,MATCH(MIN(ABS(C:C-D534)),ABS(C:C-D534),0))</f>
        <v>94329</v>
      </c>
      <c r="G534">
        <f t="shared" si="80"/>
        <v>231</v>
      </c>
      <c r="H534">
        <v>4</v>
      </c>
      <c r="I534">
        <v>3</v>
      </c>
      <c r="J534">
        <v>2</v>
      </c>
      <c r="K534">
        <v>1</v>
      </c>
      <c r="L534" cm="1">
        <f t="array" ref="L534:O534">_xlfn.SORTBY($R$3:$U$3,H534:K534)</f>
        <v>1</v>
      </c>
      <c r="M534">
        <v>1</v>
      </c>
      <c r="N534">
        <v>0</v>
      </c>
      <c r="O534">
        <v>0</v>
      </c>
      <c r="P534" t="str">
        <f t="shared" si="84"/>
        <v>94329 1 1 0 0</v>
      </c>
      <c r="R534">
        <v>1</v>
      </c>
      <c r="S534">
        <v>1</v>
      </c>
      <c r="T534">
        <v>0</v>
      </c>
      <c r="U534">
        <v>0</v>
      </c>
      <c r="V534" t="str">
        <f t="shared" si="82"/>
        <v>94329 1 1 0 0</v>
      </c>
    </row>
    <row r="535" spans="3:22">
      <c r="C535">
        <v>11760</v>
      </c>
      <c r="D535">
        <f t="shared" si="83"/>
        <v>94560</v>
      </c>
      <c r="E535" cm="1">
        <f t="array" ref="E535">INDEX(C:C,MATCH(MIN(ABS(C:C-D535)),ABS(C:C-D535),0))</f>
        <v>94560</v>
      </c>
      <c r="G535">
        <f t="shared" si="80"/>
        <v>231</v>
      </c>
      <c r="H535">
        <v>1</v>
      </c>
      <c r="I535">
        <v>2</v>
      </c>
      <c r="J535">
        <v>3</v>
      </c>
      <c r="K535">
        <v>4</v>
      </c>
      <c r="L535" cm="1">
        <f t="array" ref="L535:O535">_xlfn.SORTBY($R$4:$U$4,H535:K535)</f>
        <v>0</v>
      </c>
      <c r="M535">
        <v>0</v>
      </c>
      <c r="N535">
        <v>0</v>
      </c>
      <c r="O535">
        <v>1</v>
      </c>
      <c r="P535" t="str">
        <f t="shared" si="84"/>
        <v>94560 0 0 0 1</v>
      </c>
      <c r="R535">
        <v>0</v>
      </c>
      <c r="S535">
        <v>0</v>
      </c>
      <c r="T535">
        <v>0</v>
      </c>
      <c r="U535">
        <v>1</v>
      </c>
      <c r="V535" t="str">
        <f t="shared" si="82"/>
        <v>94560 0 0 0 1</v>
      </c>
    </row>
    <row r="536" spans="3:22">
      <c r="C536">
        <v>11783</v>
      </c>
      <c r="D536">
        <f t="shared" si="83"/>
        <v>94791</v>
      </c>
      <c r="E536" cm="1">
        <f t="array" ref="E536">INDEX(C:C,MATCH(MIN(ABS(C:C-D536)),ABS(C:C-D536),0))</f>
        <v>94790</v>
      </c>
      <c r="G536">
        <f t="shared" si="80"/>
        <v>230</v>
      </c>
      <c r="H536">
        <v>4</v>
      </c>
      <c r="I536">
        <v>2</v>
      </c>
      <c r="J536">
        <v>3</v>
      </c>
      <c r="K536">
        <v>1</v>
      </c>
      <c r="L536" cm="1">
        <f t="array" ref="L536:O536">_xlfn.SORTBY($R$4:$U$4,H536:K536)</f>
        <v>1</v>
      </c>
      <c r="M536">
        <v>0</v>
      </c>
      <c r="N536">
        <v>0</v>
      </c>
      <c r="O536">
        <v>0</v>
      </c>
      <c r="P536" t="str">
        <f t="shared" si="84"/>
        <v>94790 1 0 0 0</v>
      </c>
      <c r="R536">
        <v>1</v>
      </c>
      <c r="S536">
        <v>0</v>
      </c>
      <c r="T536">
        <v>0</v>
      </c>
      <c r="U536">
        <v>0</v>
      </c>
      <c r="V536" t="str">
        <f t="shared" si="82"/>
        <v>94790 1 0 0 0</v>
      </c>
    </row>
    <row r="537" spans="3:22">
      <c r="C537">
        <v>11806</v>
      </c>
      <c r="D537">
        <f t="shared" si="83"/>
        <v>94906</v>
      </c>
      <c r="E537" cm="1">
        <f t="array" ref="E537">INDEX(C:C,MATCH(MIN(ABS(C:C-D537)),ABS(C:C-D537),0))</f>
        <v>94906</v>
      </c>
      <c r="G537">
        <f t="shared" si="80"/>
        <v>116</v>
      </c>
      <c r="H537">
        <v>1</v>
      </c>
      <c r="I537">
        <v>3</v>
      </c>
      <c r="J537">
        <v>2</v>
      </c>
      <c r="K537">
        <v>4</v>
      </c>
      <c r="L537" cm="1">
        <f t="array" ref="L537:O537">_xlfn.SORTBY($R$4:$U$4,H537:K537)</f>
        <v>0</v>
      </c>
      <c r="M537">
        <v>0</v>
      </c>
      <c r="N537">
        <v>0</v>
      </c>
      <c r="O537">
        <v>1</v>
      </c>
      <c r="P537" t="str">
        <f t="shared" si="84"/>
        <v>94906 0 0 0 1</v>
      </c>
      <c r="R537">
        <v>0</v>
      </c>
      <c r="S537">
        <v>0</v>
      </c>
      <c r="T537">
        <v>0</v>
      </c>
      <c r="U537">
        <v>1</v>
      </c>
      <c r="V537" t="str">
        <f t="shared" si="82"/>
        <v>94906 0 0 0 1</v>
      </c>
    </row>
    <row r="538" spans="3:22">
      <c r="C538">
        <v>11829</v>
      </c>
      <c r="D538">
        <f t="shared" si="83"/>
        <v>95137</v>
      </c>
      <c r="E538" cm="1">
        <f t="array" ref="E538">INDEX(C:C,MATCH(MIN(ABS(C:C-D538)),ABS(C:C-D538),0))</f>
        <v>95137</v>
      </c>
      <c r="G538">
        <f t="shared" si="80"/>
        <v>231</v>
      </c>
      <c r="H538">
        <v>2</v>
      </c>
      <c r="I538">
        <v>3</v>
      </c>
      <c r="J538">
        <v>4</v>
      </c>
      <c r="K538">
        <v>1</v>
      </c>
      <c r="L538" cm="1">
        <f t="array" ref="L538:O538">_xlfn.SORTBY($R$4:$U$4,H538:K538)</f>
        <v>1</v>
      </c>
      <c r="M538">
        <v>0</v>
      </c>
      <c r="N538">
        <v>0</v>
      </c>
      <c r="O538">
        <v>0</v>
      </c>
      <c r="P538" t="str">
        <f t="shared" si="84"/>
        <v>95137 1 0 0 0</v>
      </c>
      <c r="R538">
        <v>1</v>
      </c>
      <c r="S538">
        <v>0</v>
      </c>
      <c r="T538">
        <v>0</v>
      </c>
      <c r="U538">
        <v>0</v>
      </c>
      <c r="V538" t="str">
        <f t="shared" si="82"/>
        <v>95137 1 0 0 0</v>
      </c>
    </row>
    <row r="539" spans="3:22">
      <c r="C539">
        <v>11852</v>
      </c>
      <c r="D539">
        <f t="shared" si="83"/>
        <v>95252</v>
      </c>
      <c r="E539" cm="1">
        <f t="array" ref="E539">INDEX(C:C,MATCH(MIN(ABS(C:C-D539)),ABS(C:C-D539),0))</f>
        <v>95252</v>
      </c>
      <c r="G539">
        <f t="shared" si="80"/>
        <v>115</v>
      </c>
      <c r="H539">
        <v>1</v>
      </c>
      <c r="I539">
        <v>4</v>
      </c>
      <c r="J539">
        <v>3</v>
      </c>
      <c r="K539">
        <v>2</v>
      </c>
      <c r="L539" cm="1">
        <f t="array" ref="L539:O539">_xlfn.SORTBY($R$4:$U$4,H539:K539)</f>
        <v>0</v>
      </c>
      <c r="M539">
        <v>1</v>
      </c>
      <c r="N539">
        <v>0</v>
      </c>
      <c r="O539">
        <v>0</v>
      </c>
      <c r="P539" t="str">
        <f t="shared" si="84"/>
        <v>95252 0 1 0 0</v>
      </c>
      <c r="R539">
        <v>0</v>
      </c>
      <c r="S539">
        <v>1</v>
      </c>
      <c r="T539">
        <v>0</v>
      </c>
      <c r="U539">
        <v>0</v>
      </c>
      <c r="V539" t="str">
        <f t="shared" si="82"/>
        <v>95252 0 1 0 0</v>
      </c>
    </row>
    <row r="540" spans="3:22">
      <c r="C540">
        <v>11875</v>
      </c>
      <c r="D540">
        <f t="shared" si="83"/>
        <v>95483</v>
      </c>
      <c r="E540" cm="1">
        <f t="array" ref="E540">INDEX(C:C,MATCH(MIN(ABS(C:C-D540)),ABS(C:C-D540),0))</f>
        <v>95483</v>
      </c>
      <c r="G540">
        <f t="shared" si="80"/>
        <v>231</v>
      </c>
      <c r="H540">
        <v>3</v>
      </c>
      <c r="I540">
        <v>4</v>
      </c>
      <c r="J540">
        <v>1</v>
      </c>
      <c r="K540">
        <v>2</v>
      </c>
      <c r="L540" cm="1">
        <f t="array" ref="L540:O540">_xlfn.SORTBY($R$4:$U$4,H540:K540)</f>
        <v>0</v>
      </c>
      <c r="M540">
        <v>1</v>
      </c>
      <c r="N540">
        <v>0</v>
      </c>
      <c r="O540">
        <v>0</v>
      </c>
      <c r="P540" t="str">
        <f t="shared" si="84"/>
        <v>95483 0 1 0 0</v>
      </c>
      <c r="R540">
        <v>0</v>
      </c>
      <c r="S540">
        <v>1</v>
      </c>
      <c r="T540">
        <v>0</v>
      </c>
      <c r="U540">
        <v>0</v>
      </c>
      <c r="V540" t="str">
        <f t="shared" si="82"/>
        <v>95483 0 1 0 0</v>
      </c>
    </row>
    <row r="541" spans="3:22">
      <c r="C541">
        <v>11898</v>
      </c>
      <c r="D541">
        <f t="shared" si="83"/>
        <v>95598</v>
      </c>
      <c r="E541" cm="1">
        <f t="array" ref="E541">INDEX(C:C,MATCH(MIN(ABS(C:C-D541)),ABS(C:C-D541),0))</f>
        <v>95598</v>
      </c>
      <c r="G541">
        <f t="shared" si="80"/>
        <v>115</v>
      </c>
      <c r="H541">
        <v>2</v>
      </c>
      <c r="I541">
        <v>1</v>
      </c>
      <c r="J541">
        <v>4</v>
      </c>
      <c r="K541">
        <v>3</v>
      </c>
      <c r="L541" cm="1">
        <f t="array" ref="L541:O541">_xlfn.SORTBY($R$4:$U$4,H541:K541)</f>
        <v>0</v>
      </c>
      <c r="M541">
        <v>0</v>
      </c>
      <c r="N541">
        <v>1</v>
      </c>
      <c r="O541">
        <v>0</v>
      </c>
      <c r="P541" t="str">
        <f t="shared" si="84"/>
        <v>95598 0 0 1 0</v>
      </c>
      <c r="R541">
        <v>0</v>
      </c>
      <c r="S541">
        <v>0</v>
      </c>
      <c r="T541">
        <v>1</v>
      </c>
      <c r="U541">
        <v>0</v>
      </c>
      <c r="V541" t="str">
        <f t="shared" si="82"/>
        <v>95598 0 0 1 0</v>
      </c>
    </row>
    <row r="542" spans="3:22">
      <c r="C542">
        <v>11921</v>
      </c>
      <c r="D542">
        <f t="shared" si="83"/>
        <v>95829</v>
      </c>
      <c r="E542" cm="1">
        <f t="array" ref="E542">INDEX(C:C,MATCH(MIN(ABS(C:C-D542)),ABS(C:C-D542),0))</f>
        <v>95829</v>
      </c>
      <c r="G542">
        <f t="shared" si="80"/>
        <v>231</v>
      </c>
      <c r="H542">
        <v>3</v>
      </c>
      <c r="I542">
        <v>2</v>
      </c>
      <c r="J542">
        <v>4</v>
      </c>
      <c r="K542">
        <v>1</v>
      </c>
      <c r="L542" cm="1">
        <f t="array" ref="L542:O542">_xlfn.SORTBY($R$4:$U$4,H542:K542)</f>
        <v>1</v>
      </c>
      <c r="M542">
        <v>0</v>
      </c>
      <c r="N542">
        <v>0</v>
      </c>
      <c r="O542">
        <v>0</v>
      </c>
      <c r="P542" t="str">
        <f t="shared" si="84"/>
        <v>95829 1 0 0 0</v>
      </c>
      <c r="R542">
        <v>1</v>
      </c>
      <c r="S542">
        <v>0</v>
      </c>
      <c r="T542">
        <v>0</v>
      </c>
      <c r="U542">
        <v>0</v>
      </c>
      <c r="V542" t="str">
        <f t="shared" si="82"/>
        <v>95829 1 0 0 0</v>
      </c>
    </row>
    <row r="543" spans="3:22">
      <c r="C543">
        <v>11944</v>
      </c>
      <c r="D543">
        <f t="shared" si="83"/>
        <v>95945</v>
      </c>
      <c r="E543" cm="1">
        <f t="array" ref="E543">INDEX(C:C,MATCH(MIN(ABS(C:C-D543)),ABS(C:C-D543),0))</f>
        <v>95944</v>
      </c>
      <c r="G543">
        <f t="shared" si="80"/>
        <v>115</v>
      </c>
      <c r="H543">
        <v>1</v>
      </c>
      <c r="I543">
        <v>3</v>
      </c>
      <c r="J543">
        <v>2</v>
      </c>
      <c r="K543">
        <v>4</v>
      </c>
      <c r="L543" cm="1">
        <f t="array" ref="L543:O543">_xlfn.SORTBY($R$4:$U$4,H543:K543)</f>
        <v>0</v>
      </c>
      <c r="M543">
        <v>0</v>
      </c>
      <c r="N543">
        <v>0</v>
      </c>
      <c r="O543">
        <v>1</v>
      </c>
      <c r="P543" t="str">
        <f t="shared" si="84"/>
        <v>95944 0 0 0 1</v>
      </c>
      <c r="R543">
        <v>0</v>
      </c>
      <c r="S543">
        <v>0</v>
      </c>
      <c r="T543">
        <v>0</v>
      </c>
      <c r="U543">
        <v>1</v>
      </c>
      <c r="V543" t="str">
        <f t="shared" si="82"/>
        <v>95944 0 0 0 1</v>
      </c>
    </row>
    <row r="544" spans="3:22">
      <c r="C544">
        <v>11967</v>
      </c>
      <c r="D544">
        <f t="shared" si="83"/>
        <v>96181</v>
      </c>
      <c r="E544" cm="1">
        <f t="array" ref="E544">INDEX(C:C,MATCH(MIN(ABS(C:C-D544)),ABS(C:C-D544),0))</f>
        <v>96175</v>
      </c>
      <c r="G544">
        <f t="shared" si="80"/>
        <v>231</v>
      </c>
      <c r="H544">
        <v>4</v>
      </c>
      <c r="I544">
        <v>3</v>
      </c>
      <c r="J544">
        <v>2</v>
      </c>
      <c r="K544">
        <v>1</v>
      </c>
      <c r="L544" cm="1">
        <f t="array" ref="L544:O544">_xlfn.SORTBY($R$3:$U$3,H544:K544)</f>
        <v>1</v>
      </c>
      <c r="M544">
        <v>1</v>
      </c>
      <c r="N544">
        <v>0</v>
      </c>
      <c r="O544">
        <v>0</v>
      </c>
      <c r="P544" t="str">
        <f t="shared" si="84"/>
        <v>96175 1 1 0 0</v>
      </c>
      <c r="R544">
        <v>1</v>
      </c>
      <c r="S544">
        <v>1</v>
      </c>
      <c r="T544">
        <v>0</v>
      </c>
      <c r="U544">
        <v>0</v>
      </c>
      <c r="V544" t="str">
        <f t="shared" si="82"/>
        <v>96175 1 1 0 0</v>
      </c>
    </row>
    <row r="545" spans="3:22">
      <c r="C545">
        <v>11990</v>
      </c>
      <c r="D545">
        <f t="shared" si="83"/>
        <v>96406</v>
      </c>
      <c r="E545" cm="1">
        <f t="array" ref="E545">INDEX(C:C,MATCH(MIN(ABS(C:C-D545)),ABS(C:C-D545),0))</f>
        <v>96406</v>
      </c>
      <c r="G545">
        <f t="shared" si="80"/>
        <v>231</v>
      </c>
      <c r="H545">
        <v>1</v>
      </c>
      <c r="I545">
        <v>2</v>
      </c>
      <c r="J545">
        <v>3</v>
      </c>
      <c r="K545">
        <v>4</v>
      </c>
      <c r="L545" cm="1">
        <f t="array" ref="L545:O545">_xlfn.SORTBY($R$4:$U$4,H545:K545)</f>
        <v>0</v>
      </c>
      <c r="M545">
        <v>0</v>
      </c>
      <c r="N545">
        <v>0</v>
      </c>
      <c r="O545">
        <v>1</v>
      </c>
      <c r="P545" t="str">
        <f t="shared" si="84"/>
        <v>96406 0 0 0 1</v>
      </c>
      <c r="R545">
        <v>0</v>
      </c>
      <c r="S545">
        <v>0</v>
      </c>
      <c r="T545">
        <v>0</v>
      </c>
      <c r="U545">
        <v>1</v>
      </c>
      <c r="V545" t="str">
        <f t="shared" si="82"/>
        <v>96406 0 0 0 1</v>
      </c>
    </row>
    <row r="546" spans="3:22">
      <c r="C546">
        <v>12013</v>
      </c>
      <c r="D546">
        <f t="shared" si="83"/>
        <v>96637</v>
      </c>
      <c r="E546" cm="1">
        <f t="array" ref="E546">INDEX(C:C,MATCH(MIN(ABS(C:C-D546)),ABS(C:C-D546),0))</f>
        <v>96637</v>
      </c>
      <c r="G546">
        <f t="shared" si="80"/>
        <v>231</v>
      </c>
      <c r="H546">
        <v>4</v>
      </c>
      <c r="I546">
        <v>2</v>
      </c>
      <c r="J546">
        <v>3</v>
      </c>
      <c r="K546">
        <v>1</v>
      </c>
      <c r="L546" cm="1">
        <f t="array" ref="L546:O546">_xlfn.SORTBY($R$4:$U$4,H546:K546)</f>
        <v>1</v>
      </c>
      <c r="M546">
        <v>0</v>
      </c>
      <c r="N546">
        <v>0</v>
      </c>
      <c r="O546">
        <v>0</v>
      </c>
      <c r="P546" t="str">
        <f t="shared" si="84"/>
        <v>96637 1 0 0 0</v>
      </c>
      <c r="R546">
        <v>1</v>
      </c>
      <c r="S546">
        <v>0</v>
      </c>
      <c r="T546">
        <v>0</v>
      </c>
      <c r="U546">
        <v>0</v>
      </c>
      <c r="V546" t="str">
        <f t="shared" si="82"/>
        <v>96637 1 0 0 0</v>
      </c>
    </row>
    <row r="547" spans="3:22">
      <c r="C547">
        <v>12037</v>
      </c>
      <c r="D547">
        <f t="shared" si="83"/>
        <v>96752</v>
      </c>
      <c r="E547" cm="1">
        <f t="array" ref="E547">INDEX(C:C,MATCH(MIN(ABS(C:C-D547)),ABS(C:C-D547),0))</f>
        <v>96752</v>
      </c>
      <c r="G547">
        <f t="shared" si="80"/>
        <v>115</v>
      </c>
      <c r="H547">
        <v>1</v>
      </c>
      <c r="I547">
        <v>3</v>
      </c>
      <c r="J547">
        <v>2</v>
      </c>
      <c r="K547">
        <v>4</v>
      </c>
      <c r="L547" cm="1">
        <f t="array" ref="L547:O547">_xlfn.SORTBY($R$4:$U$4,H547:K547)</f>
        <v>0</v>
      </c>
      <c r="M547">
        <v>0</v>
      </c>
      <c r="N547">
        <v>0</v>
      </c>
      <c r="O547">
        <v>1</v>
      </c>
      <c r="P547" t="str">
        <f t="shared" si="84"/>
        <v>96752 0 0 0 1</v>
      </c>
      <c r="R547">
        <v>0</v>
      </c>
      <c r="S547">
        <v>0</v>
      </c>
      <c r="T547">
        <v>0</v>
      </c>
      <c r="U547">
        <v>1</v>
      </c>
      <c r="V547" t="str">
        <f t="shared" si="82"/>
        <v>96752 0 0 0 1</v>
      </c>
    </row>
    <row r="548" spans="3:22">
      <c r="C548">
        <v>12060</v>
      </c>
      <c r="D548">
        <f t="shared" si="83"/>
        <v>96983</v>
      </c>
      <c r="E548" cm="1">
        <f t="array" ref="E548">INDEX(C:C,MATCH(MIN(ABS(C:C-D548)),ABS(C:C-D548),0))</f>
        <v>96983</v>
      </c>
      <c r="G548">
        <f t="shared" si="80"/>
        <v>231</v>
      </c>
      <c r="H548">
        <v>2</v>
      </c>
      <c r="I548">
        <v>3</v>
      </c>
      <c r="J548">
        <v>4</v>
      </c>
      <c r="K548">
        <v>1</v>
      </c>
      <c r="L548" cm="1">
        <f t="array" ref="L548:O548">_xlfn.SORTBY($R$4:$U$4,H548:K548)</f>
        <v>1</v>
      </c>
      <c r="M548">
        <v>0</v>
      </c>
      <c r="N548">
        <v>0</v>
      </c>
      <c r="O548">
        <v>0</v>
      </c>
      <c r="P548" t="str">
        <f t="shared" si="84"/>
        <v>96983 1 0 0 0</v>
      </c>
      <c r="R548">
        <v>1</v>
      </c>
      <c r="S548">
        <v>0</v>
      </c>
      <c r="T548">
        <v>0</v>
      </c>
      <c r="U548">
        <v>0</v>
      </c>
      <c r="V548" t="str">
        <f t="shared" si="82"/>
        <v>96983 1 0 0 0</v>
      </c>
    </row>
    <row r="549" spans="3:22">
      <c r="C549">
        <v>12083</v>
      </c>
      <c r="D549">
        <f t="shared" si="83"/>
        <v>97098</v>
      </c>
      <c r="E549" cm="1">
        <f t="array" ref="E549">INDEX(C:C,MATCH(MIN(ABS(C:C-D549)),ABS(C:C-D549),0))</f>
        <v>97098</v>
      </c>
      <c r="G549">
        <f t="shared" si="80"/>
        <v>115</v>
      </c>
      <c r="H549">
        <v>1</v>
      </c>
      <c r="I549">
        <v>4</v>
      </c>
      <c r="J549">
        <v>3</v>
      </c>
      <c r="K549">
        <v>2</v>
      </c>
      <c r="L549" cm="1">
        <f t="array" ref="L549:O549">_xlfn.SORTBY($R$4:$U$4,H549:K549)</f>
        <v>0</v>
      </c>
      <c r="M549">
        <v>1</v>
      </c>
      <c r="N549">
        <v>0</v>
      </c>
      <c r="O549">
        <v>0</v>
      </c>
      <c r="P549" t="str">
        <f t="shared" si="84"/>
        <v>97098 0 1 0 0</v>
      </c>
      <c r="R549">
        <v>0</v>
      </c>
      <c r="S549">
        <v>1</v>
      </c>
      <c r="T549">
        <v>0</v>
      </c>
      <c r="U549">
        <v>0</v>
      </c>
      <c r="V549" t="str">
        <f t="shared" si="82"/>
        <v>97098 0 1 0 0</v>
      </c>
    </row>
    <row r="550" spans="3:22">
      <c r="C550">
        <v>12106</v>
      </c>
      <c r="D550">
        <f t="shared" si="83"/>
        <v>97329</v>
      </c>
      <c r="E550" cm="1">
        <f t="array" ref="E550">INDEX(C:C,MATCH(MIN(ABS(C:C-D550)),ABS(C:C-D550),0))</f>
        <v>97329</v>
      </c>
      <c r="G550">
        <f t="shared" si="80"/>
        <v>231</v>
      </c>
      <c r="H550">
        <v>3</v>
      </c>
      <c r="I550">
        <v>4</v>
      </c>
      <c r="J550">
        <v>1</v>
      </c>
      <c r="K550">
        <v>2</v>
      </c>
      <c r="L550" cm="1">
        <f t="array" ref="L550:O550">_xlfn.SORTBY($R$4:$U$4,H550:K550)</f>
        <v>0</v>
      </c>
      <c r="M550">
        <v>1</v>
      </c>
      <c r="N550">
        <v>0</v>
      </c>
      <c r="O550">
        <v>0</v>
      </c>
      <c r="P550" t="str">
        <f t="shared" si="84"/>
        <v>97329 0 1 0 0</v>
      </c>
      <c r="R550">
        <v>0</v>
      </c>
      <c r="S550">
        <v>1</v>
      </c>
      <c r="T550">
        <v>0</v>
      </c>
      <c r="U550">
        <v>0</v>
      </c>
      <c r="V550" t="str">
        <f t="shared" si="82"/>
        <v>97329 0 1 0 0</v>
      </c>
    </row>
    <row r="551" spans="3:22">
      <c r="C551">
        <v>12129</v>
      </c>
      <c r="D551">
        <f t="shared" si="83"/>
        <v>97444</v>
      </c>
      <c r="E551" cm="1">
        <f t="array" ref="E551">INDEX(C:C,MATCH(MIN(ABS(C:C-D551)),ABS(C:C-D551),0))</f>
        <v>97444</v>
      </c>
      <c r="G551">
        <f t="shared" si="80"/>
        <v>115</v>
      </c>
      <c r="H551">
        <v>2</v>
      </c>
      <c r="I551">
        <v>1</v>
      </c>
      <c r="J551">
        <v>4</v>
      </c>
      <c r="K551">
        <v>3</v>
      </c>
      <c r="L551" cm="1">
        <f t="array" ref="L551:O551">_xlfn.SORTBY($R$4:$U$4,H551:K551)</f>
        <v>0</v>
      </c>
      <c r="M551">
        <v>0</v>
      </c>
      <c r="N551">
        <v>1</v>
      </c>
      <c r="O551">
        <v>0</v>
      </c>
      <c r="P551" t="str">
        <f t="shared" si="84"/>
        <v>97444 0 0 1 0</v>
      </c>
      <c r="R551">
        <v>0</v>
      </c>
      <c r="S551">
        <v>0</v>
      </c>
      <c r="T551">
        <v>1</v>
      </c>
      <c r="U551">
        <v>0</v>
      </c>
      <c r="V551" t="str">
        <f t="shared" si="82"/>
        <v>97444 0 0 1 0</v>
      </c>
    </row>
    <row r="552" spans="3:22">
      <c r="C552">
        <v>12152</v>
      </c>
      <c r="D552">
        <f t="shared" si="83"/>
        <v>97675</v>
      </c>
      <c r="E552" cm="1">
        <f t="array" ref="E552">INDEX(C:C,MATCH(MIN(ABS(C:C-D552)),ABS(C:C-D552),0))</f>
        <v>97675</v>
      </c>
      <c r="G552">
        <f t="shared" si="80"/>
        <v>231</v>
      </c>
      <c r="H552">
        <v>3</v>
      </c>
      <c r="I552">
        <v>2</v>
      </c>
      <c r="J552">
        <v>4</v>
      </c>
      <c r="K552">
        <v>1</v>
      </c>
      <c r="L552" cm="1">
        <f t="array" ref="L552:O552">_xlfn.SORTBY($R$4:$U$4,H552:K552)</f>
        <v>1</v>
      </c>
      <c r="M552">
        <v>0</v>
      </c>
      <c r="N552">
        <v>0</v>
      </c>
      <c r="O552">
        <v>0</v>
      </c>
      <c r="P552" t="str">
        <f t="shared" si="84"/>
        <v>97675 1 0 0 0</v>
      </c>
      <c r="R552">
        <v>1</v>
      </c>
      <c r="S552">
        <v>0</v>
      </c>
      <c r="T552">
        <v>0</v>
      </c>
      <c r="U552">
        <v>0</v>
      </c>
      <c r="V552" t="str">
        <f t="shared" si="82"/>
        <v>97675 1 0 0 0</v>
      </c>
    </row>
    <row r="553" spans="3:22">
      <c r="C553">
        <v>12175</v>
      </c>
      <c r="D553">
        <f t="shared" si="83"/>
        <v>97790</v>
      </c>
      <c r="E553" cm="1">
        <f t="array" ref="E553">INDEX(C:C,MATCH(MIN(ABS(C:C-D553)),ABS(C:C-D553),0))</f>
        <v>97790</v>
      </c>
      <c r="G553">
        <f t="shared" ref="G553:G616" si="85">E553-E552</f>
        <v>115</v>
      </c>
      <c r="H553">
        <v>1</v>
      </c>
      <c r="I553">
        <v>3</v>
      </c>
      <c r="J553">
        <v>2</v>
      </c>
      <c r="K553">
        <v>4</v>
      </c>
      <c r="L553" cm="1">
        <f t="array" ref="L553:O553">_xlfn.SORTBY($R$4:$U$4,H553:K553)</f>
        <v>0</v>
      </c>
      <c r="M553">
        <v>0</v>
      </c>
      <c r="N553">
        <v>0</v>
      </c>
      <c r="O553">
        <v>1</v>
      </c>
      <c r="P553" t="str">
        <f t="shared" si="84"/>
        <v>97790 0 0 0 1</v>
      </c>
      <c r="R553">
        <v>0</v>
      </c>
      <c r="S553">
        <v>0</v>
      </c>
      <c r="T553">
        <v>0</v>
      </c>
      <c r="U553">
        <v>1</v>
      </c>
      <c r="V553" t="str">
        <f t="shared" si="82"/>
        <v>97790 0 0 0 1</v>
      </c>
    </row>
    <row r="554" spans="3:22">
      <c r="C554">
        <v>12198</v>
      </c>
      <c r="D554">
        <f t="shared" si="83"/>
        <v>98021</v>
      </c>
      <c r="E554" cm="1">
        <f t="array" ref="E554">INDEX(C:C,MATCH(MIN(ABS(C:C-D554)),ABS(C:C-D554),0))</f>
        <v>98021</v>
      </c>
      <c r="G554">
        <f t="shared" si="85"/>
        <v>231</v>
      </c>
      <c r="H554">
        <v>1</v>
      </c>
      <c r="I554">
        <v>2</v>
      </c>
      <c r="J554">
        <v>3</v>
      </c>
      <c r="K554">
        <v>4</v>
      </c>
      <c r="L554" cm="1">
        <f t="array" ref="L554:O554">_xlfn.SORTBY($R$3:$U$3,H554:K554)</f>
        <v>0</v>
      </c>
      <c r="M554">
        <v>0</v>
      </c>
      <c r="N554">
        <v>1</v>
      </c>
      <c r="O554">
        <v>1</v>
      </c>
      <c r="P554" t="str">
        <f t="shared" si="84"/>
        <v>98021 0 0 1 1</v>
      </c>
      <c r="R554">
        <v>0</v>
      </c>
      <c r="S554">
        <v>0</v>
      </c>
      <c r="T554">
        <v>1</v>
      </c>
      <c r="U554">
        <v>1</v>
      </c>
      <c r="V554" t="str">
        <f t="shared" si="82"/>
        <v>98021 0 0 1 1</v>
      </c>
    </row>
    <row r="555" spans="3:22">
      <c r="C555">
        <v>12221</v>
      </c>
      <c r="D555">
        <f t="shared" si="83"/>
        <v>98252</v>
      </c>
      <c r="E555" cm="1">
        <f t="array" ref="E555">INDEX(C:C,MATCH(MIN(ABS(C:C-D555)),ABS(C:C-D555),0))</f>
        <v>98252</v>
      </c>
      <c r="G555">
        <f t="shared" si="85"/>
        <v>231</v>
      </c>
      <c r="H555">
        <v>4</v>
      </c>
      <c r="I555">
        <v>3</v>
      </c>
      <c r="J555">
        <v>2</v>
      </c>
      <c r="K555">
        <v>1</v>
      </c>
      <c r="L555" cm="1">
        <f t="array" ref="L555:O555">_xlfn.SORTBY($R$4:$U$4,H555:K555)</f>
        <v>1</v>
      </c>
      <c r="M555">
        <v>0</v>
      </c>
      <c r="N555">
        <v>0</v>
      </c>
      <c r="O555">
        <v>0</v>
      </c>
      <c r="P555" t="str">
        <f t="shared" si="84"/>
        <v>98252 1 0 0 0</v>
      </c>
      <c r="R555">
        <v>1</v>
      </c>
      <c r="S555">
        <v>0</v>
      </c>
      <c r="T555">
        <v>0</v>
      </c>
      <c r="U555">
        <v>0</v>
      </c>
      <c r="V555" t="str">
        <f t="shared" si="82"/>
        <v>98252 1 0 0 0</v>
      </c>
    </row>
    <row r="556" spans="3:22">
      <c r="C556">
        <v>12244</v>
      </c>
      <c r="D556">
        <f t="shared" si="83"/>
        <v>98483</v>
      </c>
      <c r="E556" cm="1">
        <f t="array" ref="E556">INDEX(C:C,MATCH(MIN(ABS(C:C-D556)),ABS(C:C-D556),0))</f>
        <v>98483</v>
      </c>
      <c r="G556">
        <f t="shared" si="85"/>
        <v>231</v>
      </c>
      <c r="H556">
        <v>1</v>
      </c>
      <c r="I556">
        <v>3</v>
      </c>
      <c r="J556">
        <v>2</v>
      </c>
      <c r="K556">
        <v>4</v>
      </c>
      <c r="L556" cm="1">
        <f t="array" ref="L556:O556">_xlfn.SORTBY($R$4:$U$4,H556:K556)</f>
        <v>0</v>
      </c>
      <c r="M556">
        <v>0</v>
      </c>
      <c r="N556">
        <v>0</v>
      </c>
      <c r="O556">
        <v>1</v>
      </c>
      <c r="P556" t="str">
        <f t="shared" si="84"/>
        <v>98483 0 0 0 1</v>
      </c>
      <c r="R556">
        <v>0</v>
      </c>
      <c r="S556">
        <v>0</v>
      </c>
      <c r="T556">
        <v>0</v>
      </c>
      <c r="U556">
        <v>1</v>
      </c>
      <c r="V556" t="str">
        <f t="shared" ref="V556:V587" si="86">E556&amp;" "&amp;R556&amp;" "&amp;S556&amp;" "&amp;T556&amp;" "&amp;U556</f>
        <v>98483 0 0 0 1</v>
      </c>
    </row>
    <row r="557" spans="3:22">
      <c r="C557">
        <v>12267</v>
      </c>
      <c r="D557">
        <f t="shared" si="83"/>
        <v>98598</v>
      </c>
      <c r="E557" cm="1">
        <f t="array" ref="E557">INDEX(C:C,MATCH(MIN(ABS(C:C-D557)),ABS(C:C-D557),0))</f>
        <v>98598</v>
      </c>
      <c r="G557">
        <f t="shared" si="85"/>
        <v>115</v>
      </c>
      <c r="H557">
        <v>4</v>
      </c>
      <c r="I557">
        <v>2</v>
      </c>
      <c r="J557">
        <v>3</v>
      </c>
      <c r="K557">
        <v>1</v>
      </c>
      <c r="L557" cm="1">
        <f t="array" ref="L557:O557">_xlfn.SORTBY($R$4:$U$4,H557:K557)</f>
        <v>1</v>
      </c>
      <c r="M557">
        <v>0</v>
      </c>
      <c r="N557">
        <v>0</v>
      </c>
      <c r="O557">
        <v>0</v>
      </c>
      <c r="P557" t="str">
        <f t="shared" ref="P557:P588" si="87">E557&amp;" "&amp;L557&amp;" "&amp;M557&amp;" "&amp;N557&amp;" "&amp;O557</f>
        <v>98598 1 0 0 0</v>
      </c>
      <c r="R557">
        <v>1</v>
      </c>
      <c r="S557">
        <v>0</v>
      </c>
      <c r="T557">
        <v>0</v>
      </c>
      <c r="U557">
        <v>0</v>
      </c>
      <c r="V557" t="str">
        <f t="shared" si="86"/>
        <v>98598 1 0 0 0</v>
      </c>
    </row>
    <row r="558" spans="3:22">
      <c r="C558">
        <v>12290</v>
      </c>
      <c r="D558">
        <f t="shared" si="83"/>
        <v>98829</v>
      </c>
      <c r="E558" cm="1">
        <f t="array" ref="E558">INDEX(C:C,MATCH(MIN(ABS(C:C-D558)),ABS(C:C-D558),0))</f>
        <v>98829</v>
      </c>
      <c r="G558">
        <f t="shared" si="85"/>
        <v>231</v>
      </c>
      <c r="H558">
        <v>1</v>
      </c>
      <c r="I558">
        <v>4</v>
      </c>
      <c r="J558">
        <v>3</v>
      </c>
      <c r="K558">
        <v>2</v>
      </c>
      <c r="L558" cm="1">
        <f t="array" ref="L558:O558">_xlfn.SORTBY($R$4:$U$4,H558:K558)</f>
        <v>0</v>
      </c>
      <c r="M558">
        <v>1</v>
      </c>
      <c r="N558">
        <v>0</v>
      </c>
      <c r="O558">
        <v>0</v>
      </c>
      <c r="P558" t="str">
        <f t="shared" si="87"/>
        <v>98829 0 1 0 0</v>
      </c>
      <c r="R558">
        <v>0</v>
      </c>
      <c r="S558">
        <v>1</v>
      </c>
      <c r="T558">
        <v>0</v>
      </c>
      <c r="U558">
        <v>0</v>
      </c>
      <c r="V558" t="str">
        <f t="shared" si="86"/>
        <v>98829 0 1 0 0</v>
      </c>
    </row>
    <row r="559" spans="3:22">
      <c r="C559">
        <v>12313</v>
      </c>
      <c r="D559">
        <f t="shared" si="83"/>
        <v>98944</v>
      </c>
      <c r="E559" cm="1">
        <f t="array" ref="E559">INDEX(C:C,MATCH(MIN(ABS(C:C-D559)),ABS(C:C-D559),0))</f>
        <v>98944</v>
      </c>
      <c r="G559">
        <f t="shared" si="85"/>
        <v>115</v>
      </c>
      <c r="H559">
        <v>2</v>
      </c>
      <c r="I559">
        <v>3</v>
      </c>
      <c r="J559">
        <v>4</v>
      </c>
      <c r="K559">
        <v>1</v>
      </c>
      <c r="L559" cm="1">
        <f t="array" ref="L559:O559">_xlfn.SORTBY($R$4:$U$4,H559:K559)</f>
        <v>1</v>
      </c>
      <c r="M559">
        <v>0</v>
      </c>
      <c r="N559">
        <v>0</v>
      </c>
      <c r="O559">
        <v>0</v>
      </c>
      <c r="P559" t="str">
        <f t="shared" si="87"/>
        <v>98944 1 0 0 0</v>
      </c>
      <c r="R559">
        <v>1</v>
      </c>
      <c r="S559">
        <v>0</v>
      </c>
      <c r="T559">
        <v>0</v>
      </c>
      <c r="U559">
        <v>0</v>
      </c>
      <c r="V559" t="str">
        <f t="shared" si="86"/>
        <v>98944 1 0 0 0</v>
      </c>
    </row>
    <row r="560" spans="3:22">
      <c r="C560">
        <v>12337</v>
      </c>
      <c r="D560">
        <f t="shared" si="83"/>
        <v>99175</v>
      </c>
      <c r="E560" cm="1">
        <f t="array" ref="E560">INDEX(C:C,MATCH(MIN(ABS(C:C-D560)),ABS(C:C-D560),0))</f>
        <v>99175</v>
      </c>
      <c r="G560">
        <f t="shared" si="85"/>
        <v>231</v>
      </c>
      <c r="H560">
        <v>2</v>
      </c>
      <c r="I560">
        <v>1</v>
      </c>
      <c r="J560">
        <v>4</v>
      </c>
      <c r="K560">
        <v>3</v>
      </c>
      <c r="L560" cm="1">
        <f t="array" ref="L560:O560">_xlfn.SORTBY($R$4:$U$4,H560:K560)</f>
        <v>0</v>
      </c>
      <c r="M560">
        <v>0</v>
      </c>
      <c r="N560">
        <v>1</v>
      </c>
      <c r="O560">
        <v>0</v>
      </c>
      <c r="P560" t="str">
        <f t="shared" si="87"/>
        <v>99175 0 0 1 0</v>
      </c>
      <c r="R560">
        <v>0</v>
      </c>
      <c r="S560">
        <v>0</v>
      </c>
      <c r="T560">
        <v>1</v>
      </c>
      <c r="U560">
        <v>0</v>
      </c>
      <c r="V560" t="str">
        <f t="shared" si="86"/>
        <v>99175 0 0 1 0</v>
      </c>
    </row>
    <row r="561" spans="3:22">
      <c r="C561">
        <v>12360</v>
      </c>
      <c r="D561">
        <f t="shared" si="83"/>
        <v>99290</v>
      </c>
      <c r="E561" cm="1">
        <f t="array" ref="E561">INDEX(C:C,MATCH(MIN(ABS(C:C-D561)),ABS(C:C-D561),0))</f>
        <v>99290</v>
      </c>
      <c r="G561">
        <f t="shared" si="85"/>
        <v>115</v>
      </c>
      <c r="H561">
        <v>3</v>
      </c>
      <c r="I561">
        <v>4</v>
      </c>
      <c r="J561">
        <v>1</v>
      </c>
      <c r="K561">
        <v>2</v>
      </c>
      <c r="L561" cm="1">
        <f t="array" ref="L561:O561">_xlfn.SORTBY($R$4:$U$4,H561:K561)</f>
        <v>0</v>
      </c>
      <c r="M561">
        <v>1</v>
      </c>
      <c r="N561">
        <v>0</v>
      </c>
      <c r="O561">
        <v>0</v>
      </c>
      <c r="P561" t="str">
        <f t="shared" si="87"/>
        <v>99290 0 1 0 0</v>
      </c>
      <c r="R561">
        <v>0</v>
      </c>
      <c r="S561">
        <v>1</v>
      </c>
      <c r="T561">
        <v>0</v>
      </c>
      <c r="U561">
        <v>0</v>
      </c>
      <c r="V561" t="str">
        <f t="shared" si="86"/>
        <v>99290 0 1 0 0</v>
      </c>
    </row>
    <row r="562" spans="3:22">
      <c r="C562">
        <v>12383</v>
      </c>
      <c r="D562">
        <f t="shared" si="83"/>
        <v>99521</v>
      </c>
      <c r="E562" cm="1">
        <f t="array" ref="E562">INDEX(C:C,MATCH(MIN(ABS(C:C-D562)),ABS(C:C-D562),0))</f>
        <v>99521</v>
      </c>
      <c r="G562">
        <f t="shared" si="85"/>
        <v>231</v>
      </c>
      <c r="H562">
        <v>1</v>
      </c>
      <c r="I562">
        <v>3</v>
      </c>
      <c r="J562">
        <v>2</v>
      </c>
      <c r="K562">
        <v>4</v>
      </c>
      <c r="L562" cm="1">
        <f t="array" ref="L562:O562">_xlfn.SORTBY($R$4:$U$4,H562:K562)</f>
        <v>0</v>
      </c>
      <c r="M562">
        <v>0</v>
      </c>
      <c r="N562">
        <v>0</v>
      </c>
      <c r="O562">
        <v>1</v>
      </c>
      <c r="P562" t="str">
        <f t="shared" si="87"/>
        <v>99521 0 0 0 1</v>
      </c>
      <c r="R562">
        <v>0</v>
      </c>
      <c r="S562">
        <v>0</v>
      </c>
      <c r="T562">
        <v>0</v>
      </c>
      <c r="U562">
        <v>1</v>
      </c>
      <c r="V562" t="str">
        <f t="shared" si="86"/>
        <v>99521 0 0 0 1</v>
      </c>
    </row>
    <row r="563" spans="3:22">
      <c r="C563">
        <v>12406</v>
      </c>
      <c r="D563">
        <f t="shared" si="83"/>
        <v>99637</v>
      </c>
      <c r="E563" cm="1">
        <f t="array" ref="E563">INDEX(C:C,MATCH(MIN(ABS(C:C-D563)),ABS(C:C-D563),0))</f>
        <v>99637</v>
      </c>
      <c r="G563">
        <f t="shared" si="85"/>
        <v>116</v>
      </c>
      <c r="H563">
        <v>3</v>
      </c>
      <c r="I563">
        <v>2</v>
      </c>
      <c r="J563">
        <v>4</v>
      </c>
      <c r="K563">
        <v>1</v>
      </c>
      <c r="L563" cm="1">
        <f t="array" ref="L563:O563">_xlfn.SORTBY($R$4:$U$4,H563:K563)</f>
        <v>1</v>
      </c>
      <c r="M563">
        <v>0</v>
      </c>
      <c r="N563">
        <v>0</v>
      </c>
      <c r="O563">
        <v>0</v>
      </c>
      <c r="P563" t="str">
        <f t="shared" si="87"/>
        <v>99637 1 0 0 0</v>
      </c>
      <c r="R563">
        <v>1</v>
      </c>
      <c r="S563">
        <v>0</v>
      </c>
      <c r="T563">
        <v>0</v>
      </c>
      <c r="U563">
        <v>0</v>
      </c>
      <c r="V563" t="str">
        <f t="shared" si="86"/>
        <v>99637 1 0 0 0</v>
      </c>
    </row>
    <row r="564" spans="3:22">
      <c r="C564">
        <v>12429</v>
      </c>
      <c r="D564">
        <f t="shared" si="83"/>
        <v>99868</v>
      </c>
      <c r="E564" cm="1">
        <f t="array" ref="E564">INDEX(C:C,MATCH(MIN(ABS(C:C-D564)),ABS(C:C-D564),0))</f>
        <v>99867</v>
      </c>
      <c r="G564">
        <f t="shared" si="85"/>
        <v>230</v>
      </c>
      <c r="H564">
        <v>1</v>
      </c>
      <c r="I564">
        <v>2</v>
      </c>
      <c r="J564">
        <v>3</v>
      </c>
      <c r="K564">
        <v>4</v>
      </c>
      <c r="L564" cm="1">
        <f t="array" ref="L564:O564">_xlfn.SORTBY($R$3:$U$3,H564:K564)</f>
        <v>0</v>
      </c>
      <c r="M564">
        <v>0</v>
      </c>
      <c r="N564">
        <v>1</v>
      </c>
      <c r="O564">
        <v>1</v>
      </c>
      <c r="P564" t="str">
        <f t="shared" si="87"/>
        <v>99867 0 0 1 1</v>
      </c>
      <c r="R564">
        <v>0</v>
      </c>
      <c r="S564">
        <v>0</v>
      </c>
      <c r="T564">
        <v>1</v>
      </c>
      <c r="U564">
        <v>1</v>
      </c>
      <c r="V564" t="str">
        <f t="shared" si="86"/>
        <v>99867 0 0 1 1</v>
      </c>
    </row>
    <row r="565" spans="3:22">
      <c r="C565">
        <v>12452</v>
      </c>
      <c r="D565">
        <f t="shared" si="83"/>
        <v>100098</v>
      </c>
      <c r="E565" cm="1">
        <f t="array" ref="E565">INDEX(C:C,MATCH(MIN(ABS(C:C-D565)),ABS(C:C-D565),0))</f>
        <v>100098</v>
      </c>
      <c r="G565">
        <f t="shared" si="85"/>
        <v>231</v>
      </c>
      <c r="H565">
        <v>4</v>
      </c>
      <c r="I565">
        <v>3</v>
      </c>
      <c r="J565">
        <v>2</v>
      </c>
      <c r="K565">
        <v>1</v>
      </c>
      <c r="L565" cm="1">
        <f t="array" ref="L565:O565">_xlfn.SORTBY($R$4:$U$4,H565:K565)</f>
        <v>1</v>
      </c>
      <c r="M565">
        <v>0</v>
      </c>
      <c r="N565">
        <v>0</v>
      </c>
      <c r="O565">
        <v>0</v>
      </c>
      <c r="P565" t="str">
        <f t="shared" si="87"/>
        <v>100098 1 0 0 0</v>
      </c>
      <c r="R565">
        <v>1</v>
      </c>
      <c r="S565">
        <v>0</v>
      </c>
      <c r="T565">
        <v>0</v>
      </c>
      <c r="U565">
        <v>0</v>
      </c>
      <c r="V565" t="str">
        <f t="shared" si="86"/>
        <v>100098 1 0 0 0</v>
      </c>
    </row>
    <row r="566" spans="3:22">
      <c r="C566">
        <v>12475</v>
      </c>
      <c r="D566">
        <f t="shared" si="83"/>
        <v>100329</v>
      </c>
      <c r="E566" cm="1">
        <f t="array" ref="E566">INDEX(C:C,MATCH(MIN(ABS(C:C-D566)),ABS(C:C-D566),0))</f>
        <v>100329</v>
      </c>
      <c r="G566">
        <f t="shared" si="85"/>
        <v>231</v>
      </c>
      <c r="H566">
        <v>1</v>
      </c>
      <c r="I566">
        <v>3</v>
      </c>
      <c r="J566">
        <v>2</v>
      </c>
      <c r="K566">
        <v>4</v>
      </c>
      <c r="L566" cm="1">
        <f t="array" ref="L566:O566">_xlfn.SORTBY($R$4:$U$4,H566:K566)</f>
        <v>0</v>
      </c>
      <c r="M566">
        <v>0</v>
      </c>
      <c r="N566">
        <v>0</v>
      </c>
      <c r="O566">
        <v>1</v>
      </c>
      <c r="P566" t="str">
        <f t="shared" si="87"/>
        <v>100329 0 0 0 1</v>
      </c>
      <c r="R566">
        <v>0</v>
      </c>
      <c r="S566">
        <v>0</v>
      </c>
      <c r="T566">
        <v>0</v>
      </c>
      <c r="U566">
        <v>1</v>
      </c>
      <c r="V566" t="str">
        <f t="shared" si="86"/>
        <v>100329 0 0 0 1</v>
      </c>
    </row>
    <row r="567" spans="3:22">
      <c r="C567">
        <v>12498</v>
      </c>
      <c r="D567">
        <f t="shared" si="83"/>
        <v>100445</v>
      </c>
      <c r="E567" cm="1">
        <f t="array" ref="E567">INDEX(C:C,MATCH(MIN(ABS(C:C-D567)),ABS(C:C-D567),0))</f>
        <v>100444</v>
      </c>
      <c r="G567">
        <f t="shared" si="85"/>
        <v>115</v>
      </c>
      <c r="H567">
        <v>4</v>
      </c>
      <c r="I567">
        <v>2</v>
      </c>
      <c r="J567">
        <v>3</v>
      </c>
      <c r="K567">
        <v>1</v>
      </c>
      <c r="L567" cm="1">
        <f t="array" ref="L567:O567">_xlfn.SORTBY($R$4:$U$4,H567:K567)</f>
        <v>1</v>
      </c>
      <c r="M567">
        <v>0</v>
      </c>
      <c r="N567">
        <v>0</v>
      </c>
      <c r="O567">
        <v>0</v>
      </c>
      <c r="P567" t="str">
        <f t="shared" si="87"/>
        <v>100444 1 0 0 0</v>
      </c>
      <c r="R567">
        <v>1</v>
      </c>
      <c r="S567">
        <v>0</v>
      </c>
      <c r="T567">
        <v>0</v>
      </c>
      <c r="U567">
        <v>0</v>
      </c>
      <c r="V567" t="str">
        <f t="shared" si="86"/>
        <v>100444 1 0 0 0</v>
      </c>
    </row>
    <row r="568" spans="3:22">
      <c r="C568">
        <v>12521</v>
      </c>
      <c r="D568">
        <f t="shared" si="83"/>
        <v>100675</v>
      </c>
      <c r="E568" cm="1">
        <f t="array" ref="E568">INDEX(C:C,MATCH(MIN(ABS(C:C-D568)),ABS(C:C-D568),0))</f>
        <v>100675</v>
      </c>
      <c r="G568">
        <f t="shared" si="85"/>
        <v>231</v>
      </c>
      <c r="H568">
        <v>1</v>
      </c>
      <c r="I568">
        <v>4</v>
      </c>
      <c r="J568">
        <v>3</v>
      </c>
      <c r="K568">
        <v>2</v>
      </c>
      <c r="L568" cm="1">
        <f t="array" ref="L568:O568">_xlfn.SORTBY($R$4:$U$4,H568:K568)</f>
        <v>0</v>
      </c>
      <c r="M568">
        <v>1</v>
      </c>
      <c r="N568">
        <v>0</v>
      </c>
      <c r="O568">
        <v>0</v>
      </c>
      <c r="P568" t="str">
        <f t="shared" si="87"/>
        <v>100675 0 1 0 0</v>
      </c>
      <c r="R568">
        <v>0</v>
      </c>
      <c r="S568">
        <v>1</v>
      </c>
      <c r="T568">
        <v>0</v>
      </c>
      <c r="U568">
        <v>0</v>
      </c>
      <c r="V568" t="str">
        <f t="shared" si="86"/>
        <v>100675 0 1 0 0</v>
      </c>
    </row>
    <row r="569" spans="3:22">
      <c r="C569">
        <v>12544</v>
      </c>
      <c r="D569">
        <f t="shared" si="83"/>
        <v>100791</v>
      </c>
      <c r="E569" cm="1">
        <f t="array" ref="E569">INDEX(C:C,MATCH(MIN(ABS(C:C-D569)),ABS(C:C-D569),0))</f>
        <v>100790</v>
      </c>
      <c r="G569">
        <f t="shared" si="85"/>
        <v>115</v>
      </c>
      <c r="H569">
        <v>2</v>
      </c>
      <c r="I569">
        <v>3</v>
      </c>
      <c r="J569">
        <v>4</v>
      </c>
      <c r="K569">
        <v>1</v>
      </c>
      <c r="L569" cm="1">
        <f t="array" ref="L569:O569">_xlfn.SORTBY($R$4:$U$4,H569:K569)</f>
        <v>1</v>
      </c>
      <c r="M569">
        <v>0</v>
      </c>
      <c r="N569">
        <v>0</v>
      </c>
      <c r="O569">
        <v>0</v>
      </c>
      <c r="P569" t="str">
        <f t="shared" si="87"/>
        <v>100790 1 0 0 0</v>
      </c>
      <c r="R569">
        <v>1</v>
      </c>
      <c r="S569">
        <v>0</v>
      </c>
      <c r="T569">
        <v>0</v>
      </c>
      <c r="U569">
        <v>0</v>
      </c>
      <c r="V569" t="str">
        <f t="shared" si="86"/>
        <v>100790 1 0 0 0</v>
      </c>
    </row>
    <row r="570" spans="3:22">
      <c r="C570">
        <v>12567</v>
      </c>
      <c r="D570">
        <f ca="1" t="shared" si="83"/>
        <v>101022</v>
      </c>
      <c r="E570" cm="1">
        <f ca="1" t="array" ref="E570">INDEX(C:C,MATCH(MIN(ABS(C:C-D570)),ABS(C:C-D570),0))</f>
        <v>101021</v>
      </c>
      <c r="G570">
        <f ca="1" t="shared" si="85"/>
        <v>231</v>
      </c>
      <c r="H570">
        <v>2</v>
      </c>
      <c r="I570">
        <v>1</v>
      </c>
      <c r="J570">
        <v>4</v>
      </c>
      <c r="K570">
        <v>3</v>
      </c>
      <c r="L570" cm="1">
        <f t="array" ref="L570:O570">_xlfn.SORTBY($R$4:$U$4,H570:K570)</f>
        <v>0</v>
      </c>
      <c r="M570">
        <v>0</v>
      </c>
      <c r="N570">
        <v>1</v>
      </c>
      <c r="O570">
        <v>0</v>
      </c>
      <c r="P570" t="str">
        <f ca="1" t="shared" si="87"/>
        <v>101021 0 0 1 0</v>
      </c>
      <c r="R570">
        <v>0</v>
      </c>
      <c r="S570">
        <v>0</v>
      </c>
      <c r="T570">
        <v>1</v>
      </c>
      <c r="U570">
        <v>0</v>
      </c>
      <c r="V570" t="str">
        <f ca="1" t="shared" si="86"/>
        <v>101021 0 0 1 0</v>
      </c>
    </row>
    <row r="571" spans="3:22">
      <c r="C571">
        <v>12590</v>
      </c>
      <c r="D571">
        <f ca="1" t="shared" si="83"/>
        <v>101137</v>
      </c>
      <c r="E571" cm="1">
        <f ca="1" t="array" ref="E571">INDEX(C:C,MATCH(MIN(ABS(C:C-D571)),ABS(C:C-D571),0))</f>
        <v>101137</v>
      </c>
      <c r="G571">
        <f ca="1" t="shared" si="85"/>
        <v>116</v>
      </c>
      <c r="H571">
        <v>3</v>
      </c>
      <c r="I571">
        <v>4</v>
      </c>
      <c r="J571">
        <v>1</v>
      </c>
      <c r="K571">
        <v>2</v>
      </c>
      <c r="L571" cm="1">
        <f t="array" ref="L571:O571">_xlfn.SORTBY($R$4:$U$4,H571:K571)</f>
        <v>0</v>
      </c>
      <c r="M571">
        <v>1</v>
      </c>
      <c r="N571">
        <v>0</v>
      </c>
      <c r="O571">
        <v>0</v>
      </c>
      <c r="P571" t="str">
        <f ca="1" t="shared" si="87"/>
        <v>101137 0 1 0 0</v>
      </c>
      <c r="R571">
        <v>0</v>
      </c>
      <c r="S571">
        <v>1</v>
      </c>
      <c r="T571">
        <v>0</v>
      </c>
      <c r="U571">
        <v>0</v>
      </c>
      <c r="V571" t="str">
        <f ca="1" t="shared" si="86"/>
        <v>101137 0 1 0 0</v>
      </c>
    </row>
    <row r="572" spans="3:22">
      <c r="C572">
        <v>12613</v>
      </c>
      <c r="D572">
        <f ca="1" t="shared" si="83"/>
        <v>101368</v>
      </c>
      <c r="E572" cm="1">
        <f ca="1" t="array" ref="E572">INDEX(C:C,MATCH(MIN(ABS(C:C-D572)),ABS(C:C-D572),0))</f>
        <v>101367</v>
      </c>
      <c r="G572">
        <f ca="1" t="shared" si="85"/>
        <v>230</v>
      </c>
      <c r="H572">
        <v>1</v>
      </c>
      <c r="I572">
        <v>3</v>
      </c>
      <c r="J572">
        <v>2</v>
      </c>
      <c r="K572">
        <v>4</v>
      </c>
      <c r="L572" cm="1">
        <f t="array" ref="L572:O572">_xlfn.SORTBY($R$4:$U$4,H572:K572)</f>
        <v>0</v>
      </c>
      <c r="M572">
        <v>0</v>
      </c>
      <c r="N572">
        <v>0</v>
      </c>
      <c r="O572">
        <v>1</v>
      </c>
      <c r="P572" t="str">
        <f ca="1" t="shared" si="87"/>
        <v>101367 0 0 0 1</v>
      </c>
      <c r="R572">
        <v>0</v>
      </c>
      <c r="S572">
        <v>0</v>
      </c>
      <c r="T572">
        <v>0</v>
      </c>
      <c r="U572">
        <v>1</v>
      </c>
      <c r="V572" t="str">
        <f ca="1" t="shared" si="86"/>
        <v>101367 0 0 0 1</v>
      </c>
    </row>
    <row r="573" spans="3:22">
      <c r="C573">
        <v>12637</v>
      </c>
      <c r="D573">
        <f ca="1" t="shared" si="83"/>
        <v>101483</v>
      </c>
      <c r="E573" cm="1">
        <f ca="1" t="array" ref="E573">INDEX(C:C,MATCH(MIN(ABS(C:C-D573)),ABS(C:C-D573),0))</f>
        <v>101483</v>
      </c>
      <c r="G573">
        <f ca="1" t="shared" si="85"/>
        <v>116</v>
      </c>
      <c r="H573">
        <v>3</v>
      </c>
      <c r="I573">
        <v>2</v>
      </c>
      <c r="J573">
        <v>4</v>
      </c>
      <c r="K573">
        <v>1</v>
      </c>
      <c r="L573" cm="1">
        <f t="array" ref="L573:O573">_xlfn.SORTBY($R$4:$U$4,H573:K573)</f>
        <v>1</v>
      </c>
      <c r="M573">
        <v>0</v>
      </c>
      <c r="N573">
        <v>0</v>
      </c>
      <c r="O573">
        <v>0</v>
      </c>
      <c r="P573" t="str">
        <f ca="1" t="shared" si="87"/>
        <v>101483 1 0 0 0</v>
      </c>
      <c r="R573">
        <v>1</v>
      </c>
      <c r="S573">
        <v>0</v>
      </c>
      <c r="T573">
        <v>0</v>
      </c>
      <c r="U573">
        <v>0</v>
      </c>
      <c r="V573" t="str">
        <f ca="1" t="shared" si="86"/>
        <v>101483 1 0 0 0</v>
      </c>
    </row>
    <row r="574" spans="3:22">
      <c r="C574">
        <v>12660</v>
      </c>
      <c r="D574">
        <f ca="1" t="shared" si="83"/>
        <v>101714</v>
      </c>
      <c r="E574" cm="1">
        <f ca="1" t="array" ref="E574">INDEX(C:C,MATCH(MIN(ABS(C:C-D574)),ABS(C:C-D574),0))</f>
        <v>101713</v>
      </c>
      <c r="G574">
        <f ca="1" t="shared" si="85"/>
        <v>230</v>
      </c>
      <c r="H574">
        <v>4</v>
      </c>
      <c r="I574">
        <v>3</v>
      </c>
      <c r="J574">
        <v>2</v>
      </c>
      <c r="K574">
        <v>1</v>
      </c>
      <c r="L574" cm="1">
        <f t="array" ref="L574:O574">_xlfn.SORTBY($R$3:$U$3,H574:K574)</f>
        <v>1</v>
      </c>
      <c r="M574">
        <v>1</v>
      </c>
      <c r="N574">
        <v>0</v>
      </c>
      <c r="O574">
        <v>0</v>
      </c>
      <c r="P574" t="str">
        <f ca="1" t="shared" si="87"/>
        <v>101713 1 1 0 0</v>
      </c>
      <c r="R574">
        <v>1</v>
      </c>
      <c r="S574">
        <v>1</v>
      </c>
      <c r="T574">
        <v>0</v>
      </c>
      <c r="U574">
        <v>0</v>
      </c>
      <c r="V574" t="str">
        <f ca="1" t="shared" si="86"/>
        <v>101713 1 1 0 0</v>
      </c>
    </row>
    <row r="575" spans="3:22">
      <c r="C575">
        <v>12683</v>
      </c>
      <c r="D575">
        <f ca="1" t="shared" si="83"/>
        <v>101945</v>
      </c>
      <c r="E575" cm="1">
        <f ca="1" t="array" ref="E575">INDEX(C:C,MATCH(MIN(ABS(C:C-D575)),ABS(C:C-D575),0))</f>
        <v>101944</v>
      </c>
      <c r="G575">
        <f ca="1" t="shared" si="85"/>
        <v>231</v>
      </c>
      <c r="H575">
        <v>1</v>
      </c>
      <c r="I575">
        <v>2</v>
      </c>
      <c r="J575">
        <v>3</v>
      </c>
      <c r="K575">
        <v>4</v>
      </c>
      <c r="L575" cm="1">
        <f t="array" ref="L575:O575">_xlfn.SORTBY($R$4:$U$4,H575:K575)</f>
        <v>0</v>
      </c>
      <c r="M575">
        <v>0</v>
      </c>
      <c r="N575">
        <v>0</v>
      </c>
      <c r="O575">
        <v>1</v>
      </c>
      <c r="P575" t="str">
        <f ca="1" t="shared" si="87"/>
        <v>101944 0 0 0 1</v>
      </c>
      <c r="R575">
        <v>0</v>
      </c>
      <c r="S575">
        <v>0</v>
      </c>
      <c r="T575">
        <v>0</v>
      </c>
      <c r="U575">
        <v>1</v>
      </c>
      <c r="V575" t="str">
        <f ca="1" t="shared" si="86"/>
        <v>101944 0 0 0 1</v>
      </c>
    </row>
    <row r="576" spans="3:22">
      <c r="C576">
        <v>12706</v>
      </c>
      <c r="D576">
        <f ca="1" t="shared" si="83"/>
        <v>102176</v>
      </c>
      <c r="E576" cm="1">
        <f ca="1" t="array" ref="E576">INDEX(C:C,MATCH(MIN(ABS(C:C-D576)),ABS(C:C-D576),0))</f>
        <v>102175</v>
      </c>
      <c r="G576">
        <f ca="1" t="shared" si="85"/>
        <v>231</v>
      </c>
      <c r="H576">
        <v>4</v>
      </c>
      <c r="I576">
        <v>2</v>
      </c>
      <c r="J576">
        <v>3</v>
      </c>
      <c r="K576">
        <v>1</v>
      </c>
      <c r="L576" cm="1">
        <f t="array" ref="L576:O576">_xlfn.SORTBY($R$4:$U$4,H576:K576)</f>
        <v>1</v>
      </c>
      <c r="M576">
        <v>0</v>
      </c>
      <c r="N576">
        <v>0</v>
      </c>
      <c r="O576">
        <v>0</v>
      </c>
      <c r="P576" t="str">
        <f ca="1" t="shared" si="87"/>
        <v>102175 1 0 0 0</v>
      </c>
      <c r="R576">
        <v>1</v>
      </c>
      <c r="S576">
        <v>0</v>
      </c>
      <c r="T576">
        <v>0</v>
      </c>
      <c r="U576">
        <v>0</v>
      </c>
      <c r="V576" t="str">
        <f ca="1" t="shared" si="86"/>
        <v>102175 1 0 0 0</v>
      </c>
    </row>
    <row r="577" spans="3:22">
      <c r="C577">
        <v>12729</v>
      </c>
      <c r="D577">
        <f ca="1" t="shared" si="83"/>
        <v>102291</v>
      </c>
      <c r="E577" cm="1">
        <f ca="1" t="array" ref="E577">INDEX(C:C,MATCH(MIN(ABS(C:C-D577)),ABS(C:C-D577),0))</f>
        <v>102290</v>
      </c>
      <c r="G577">
        <f ca="1" t="shared" si="85"/>
        <v>115</v>
      </c>
      <c r="H577">
        <v>1</v>
      </c>
      <c r="I577">
        <v>3</v>
      </c>
      <c r="J577">
        <v>2</v>
      </c>
      <c r="K577">
        <v>4</v>
      </c>
      <c r="L577" cm="1">
        <f t="array" ref="L577:O577">_xlfn.SORTBY($R$4:$U$4,H577:K577)</f>
        <v>0</v>
      </c>
      <c r="M577">
        <v>0</v>
      </c>
      <c r="N577">
        <v>0</v>
      </c>
      <c r="O577">
        <v>1</v>
      </c>
      <c r="P577" t="str">
        <f ca="1" t="shared" si="87"/>
        <v>102290 0 0 0 1</v>
      </c>
      <c r="R577">
        <v>0</v>
      </c>
      <c r="S577">
        <v>0</v>
      </c>
      <c r="T577">
        <v>0</v>
      </c>
      <c r="U577">
        <v>1</v>
      </c>
      <c r="V577" t="str">
        <f ca="1" t="shared" si="86"/>
        <v>102290 0 0 0 1</v>
      </c>
    </row>
    <row r="578" spans="3:22">
      <c r="C578">
        <v>12752</v>
      </c>
      <c r="D578">
        <f ca="1" t="shared" si="83"/>
        <v>102522</v>
      </c>
      <c r="E578" cm="1">
        <f ca="1" t="array" ref="E578">INDEX(C:C,MATCH(MIN(ABS(C:C-D578)),ABS(C:C-D578),0))</f>
        <v>102521</v>
      </c>
      <c r="G578">
        <f ca="1" t="shared" si="85"/>
        <v>231</v>
      </c>
      <c r="H578">
        <v>2</v>
      </c>
      <c r="I578">
        <v>3</v>
      </c>
      <c r="J578">
        <v>4</v>
      </c>
      <c r="K578">
        <v>1</v>
      </c>
      <c r="L578" cm="1">
        <f t="array" ref="L578:O578">_xlfn.SORTBY($R$4:$U$4,H578:K578)</f>
        <v>1</v>
      </c>
      <c r="M578">
        <v>0</v>
      </c>
      <c r="N578">
        <v>0</v>
      </c>
      <c r="O578">
        <v>0</v>
      </c>
      <c r="P578" t="str">
        <f ca="1" t="shared" si="87"/>
        <v>102521 1 0 0 0</v>
      </c>
      <c r="R578">
        <v>1</v>
      </c>
      <c r="S578">
        <v>0</v>
      </c>
      <c r="T578">
        <v>0</v>
      </c>
      <c r="U578">
        <v>0</v>
      </c>
      <c r="V578" t="str">
        <f ca="1" t="shared" si="86"/>
        <v>102521 1 0 0 0</v>
      </c>
    </row>
    <row r="579" spans="3:22">
      <c r="C579">
        <v>12775</v>
      </c>
      <c r="D579">
        <f ca="1" t="shared" si="83"/>
        <v>102637</v>
      </c>
      <c r="E579" cm="1">
        <f ca="1" t="array" ref="E579">INDEX(C:C,MATCH(MIN(ABS(C:C-D579)),ABS(C:C-D579),0))</f>
        <v>102637</v>
      </c>
      <c r="G579">
        <f ca="1" t="shared" si="85"/>
        <v>116</v>
      </c>
      <c r="H579">
        <v>1</v>
      </c>
      <c r="I579">
        <v>4</v>
      </c>
      <c r="J579">
        <v>3</v>
      </c>
      <c r="K579">
        <v>2</v>
      </c>
      <c r="L579" cm="1">
        <f t="array" ref="L579:O579">_xlfn.SORTBY($R$4:$U$4,H579:K579)</f>
        <v>0</v>
      </c>
      <c r="M579">
        <v>1</v>
      </c>
      <c r="N579">
        <v>0</v>
      </c>
      <c r="O579">
        <v>0</v>
      </c>
      <c r="P579" t="str">
        <f ca="1" t="shared" si="87"/>
        <v>102637 0 1 0 0</v>
      </c>
      <c r="R579">
        <v>0</v>
      </c>
      <c r="S579">
        <v>1</v>
      </c>
      <c r="T579">
        <v>0</v>
      </c>
      <c r="U579">
        <v>0</v>
      </c>
      <c r="V579" t="str">
        <f ca="1" t="shared" si="86"/>
        <v>102637 0 1 0 0</v>
      </c>
    </row>
    <row r="580" spans="3:22">
      <c r="C580">
        <v>12798</v>
      </c>
      <c r="D580">
        <f ca="1" t="shared" si="83"/>
        <v>102868</v>
      </c>
      <c r="E580" cm="1">
        <f ca="1" t="array" ref="E580">INDEX(C:C,MATCH(MIN(ABS(C:C-D580)),ABS(C:C-D580),0))</f>
        <v>102867</v>
      </c>
      <c r="G580">
        <f ca="1" t="shared" si="85"/>
        <v>230</v>
      </c>
      <c r="H580">
        <v>3</v>
      </c>
      <c r="I580">
        <v>4</v>
      </c>
      <c r="J580">
        <v>1</v>
      </c>
      <c r="K580">
        <v>2</v>
      </c>
      <c r="L580" cm="1">
        <f t="array" ref="L580:O580">_xlfn.SORTBY($R$4:$U$4,H580:K580)</f>
        <v>0</v>
      </c>
      <c r="M580">
        <v>1</v>
      </c>
      <c r="N580">
        <v>0</v>
      </c>
      <c r="O580">
        <v>0</v>
      </c>
      <c r="P580" t="str">
        <f ca="1" t="shared" si="87"/>
        <v>102867 0 1 0 0</v>
      </c>
      <c r="R580">
        <v>0</v>
      </c>
      <c r="S580">
        <v>1</v>
      </c>
      <c r="T580">
        <v>0</v>
      </c>
      <c r="U580">
        <v>0</v>
      </c>
      <c r="V580" t="str">
        <f ca="1" t="shared" si="86"/>
        <v>102867 0 1 0 0</v>
      </c>
    </row>
    <row r="581" spans="3:22">
      <c r="C581">
        <v>12821</v>
      </c>
      <c r="D581">
        <f ca="1" t="shared" si="83"/>
        <v>102983</v>
      </c>
      <c r="E581" cm="1">
        <f ca="1" t="array" ref="E581">INDEX(C:C,MATCH(MIN(ABS(C:C-D581)),ABS(C:C-D581),0))</f>
        <v>102983</v>
      </c>
      <c r="G581">
        <f ca="1" t="shared" si="85"/>
        <v>116</v>
      </c>
      <c r="H581">
        <v>2</v>
      </c>
      <c r="I581">
        <v>1</v>
      </c>
      <c r="J581">
        <v>4</v>
      </c>
      <c r="K581">
        <v>3</v>
      </c>
      <c r="L581" cm="1">
        <f t="array" ref="L581:O581">_xlfn.SORTBY($R$4:$U$4,H581:K581)</f>
        <v>0</v>
      </c>
      <c r="M581">
        <v>0</v>
      </c>
      <c r="N581">
        <v>1</v>
      </c>
      <c r="O581">
        <v>0</v>
      </c>
      <c r="P581" t="str">
        <f ca="1" t="shared" si="87"/>
        <v>102983 0 0 1 0</v>
      </c>
      <c r="R581">
        <v>0</v>
      </c>
      <c r="S581">
        <v>0</v>
      </c>
      <c r="T581">
        <v>1</v>
      </c>
      <c r="U581">
        <v>0</v>
      </c>
      <c r="V581" t="str">
        <f ca="1" t="shared" si="86"/>
        <v>102983 0 0 1 0</v>
      </c>
    </row>
    <row r="582" spans="3:22">
      <c r="C582">
        <v>12844</v>
      </c>
      <c r="D582">
        <f ca="1" t="shared" si="83"/>
        <v>103214</v>
      </c>
      <c r="E582" cm="1">
        <f ca="1" t="array" ref="E582">INDEX(C:C,MATCH(MIN(ABS(C:C-D582)),ABS(C:C-D582),0))</f>
        <v>103213</v>
      </c>
      <c r="G582">
        <f ca="1" t="shared" si="85"/>
        <v>230</v>
      </c>
      <c r="H582">
        <v>3</v>
      </c>
      <c r="I582">
        <v>2</v>
      </c>
      <c r="J582">
        <v>4</v>
      </c>
      <c r="K582">
        <v>1</v>
      </c>
      <c r="L582" cm="1">
        <f t="array" ref="L582:O582">_xlfn.SORTBY($R$4:$U$4,H582:K582)</f>
        <v>1</v>
      </c>
      <c r="M582">
        <v>0</v>
      </c>
      <c r="N582">
        <v>0</v>
      </c>
      <c r="O582">
        <v>0</v>
      </c>
      <c r="P582" t="str">
        <f ca="1" t="shared" si="87"/>
        <v>103213 1 0 0 0</v>
      </c>
      <c r="R582">
        <v>1</v>
      </c>
      <c r="S582">
        <v>0</v>
      </c>
      <c r="T582">
        <v>0</v>
      </c>
      <c r="U582">
        <v>0</v>
      </c>
      <c r="V582" t="str">
        <f ca="1" t="shared" si="86"/>
        <v>103213 1 0 0 0</v>
      </c>
    </row>
    <row r="583" spans="3:22">
      <c r="C583">
        <v>12867</v>
      </c>
      <c r="D583">
        <f t="shared" si="83"/>
        <v>103329</v>
      </c>
      <c r="E583" cm="1">
        <f t="array" ref="E583">INDEX(C:C,MATCH(MIN(ABS(C:C-D583)),ABS(C:C-D583),0))</f>
        <v>103329</v>
      </c>
      <c r="G583">
        <f ca="1" t="shared" si="85"/>
        <v>116</v>
      </c>
      <c r="H583">
        <v>1</v>
      </c>
      <c r="I583">
        <v>3</v>
      </c>
      <c r="J583">
        <v>2</v>
      </c>
      <c r="K583">
        <v>4</v>
      </c>
      <c r="L583" cm="1">
        <f t="array" ref="L583:O583">_xlfn.SORTBY($R$4:$U$4,H583:K583)</f>
        <v>0</v>
      </c>
      <c r="M583">
        <v>0</v>
      </c>
      <c r="N583">
        <v>0</v>
      </c>
      <c r="O583">
        <v>1</v>
      </c>
      <c r="P583" t="str">
        <f t="shared" si="87"/>
        <v>103329 0 0 0 1</v>
      </c>
      <c r="R583">
        <v>0</v>
      </c>
      <c r="S583">
        <v>0</v>
      </c>
      <c r="T583">
        <v>0</v>
      </c>
      <c r="U583">
        <v>1</v>
      </c>
      <c r="V583" t="str">
        <f t="shared" si="86"/>
        <v>103329 0 0 0 1</v>
      </c>
    </row>
    <row r="584" spans="3:22">
      <c r="C584">
        <v>12890</v>
      </c>
      <c r="D584">
        <f t="shared" si="83"/>
        <v>103560</v>
      </c>
      <c r="E584" cm="1">
        <f t="array" ref="E584">INDEX(C:C,MATCH(MIN(ABS(C:C-D584)),ABS(C:C-D584),0))</f>
        <v>103560</v>
      </c>
      <c r="G584">
        <f t="shared" si="85"/>
        <v>231</v>
      </c>
      <c r="H584">
        <v>4</v>
      </c>
      <c r="I584">
        <v>3</v>
      </c>
      <c r="J584">
        <v>2</v>
      </c>
      <c r="K584">
        <v>1</v>
      </c>
      <c r="L584" cm="1">
        <f t="array" ref="L584:O584">_xlfn.SORTBY($R$3:$U$3,H584:K584)</f>
        <v>1</v>
      </c>
      <c r="M584">
        <v>1</v>
      </c>
      <c r="N584">
        <v>0</v>
      </c>
      <c r="O584">
        <v>0</v>
      </c>
      <c r="P584" t="str">
        <f t="shared" si="87"/>
        <v>103560 1 1 0 0</v>
      </c>
      <c r="R584">
        <v>1</v>
      </c>
      <c r="S584">
        <v>1</v>
      </c>
      <c r="T584">
        <v>0</v>
      </c>
      <c r="U584">
        <v>0</v>
      </c>
      <c r="V584" t="str">
        <f t="shared" si="86"/>
        <v>103560 1 1 0 0</v>
      </c>
    </row>
    <row r="585" spans="3:22">
      <c r="C585">
        <v>12913</v>
      </c>
      <c r="D585">
        <f ca="1" t="shared" si="83"/>
        <v>103790</v>
      </c>
      <c r="E585" cm="1">
        <f ca="1" t="array" ref="E585">INDEX(C:C,MATCH(MIN(ABS(C:C-D585)),ABS(C:C-D585),0))</f>
        <v>103790</v>
      </c>
      <c r="G585">
        <f ca="1" t="shared" si="85"/>
        <v>230</v>
      </c>
      <c r="H585">
        <v>1</v>
      </c>
      <c r="I585">
        <v>2</v>
      </c>
      <c r="J585">
        <v>3</v>
      </c>
      <c r="K585">
        <v>4</v>
      </c>
      <c r="L585" cm="1">
        <f t="array" ref="L585:O585">_xlfn.SORTBY($R$4:$U$4,H585:K585)</f>
        <v>0</v>
      </c>
      <c r="M585">
        <v>0</v>
      </c>
      <c r="N585">
        <v>0</v>
      </c>
      <c r="O585">
        <v>1</v>
      </c>
      <c r="P585" t="str">
        <f ca="1" t="shared" si="87"/>
        <v>103790 0 0 0 1</v>
      </c>
      <c r="R585">
        <v>0</v>
      </c>
      <c r="S585">
        <v>0</v>
      </c>
      <c r="T585">
        <v>0</v>
      </c>
      <c r="U585">
        <v>1</v>
      </c>
      <c r="V585" t="str">
        <f ca="1" t="shared" si="86"/>
        <v>103790 0 0 0 1</v>
      </c>
    </row>
    <row r="586" spans="3:22">
      <c r="C586">
        <v>12937</v>
      </c>
      <c r="D586">
        <f ca="1" t="shared" si="83"/>
        <v>104021</v>
      </c>
      <c r="E586" cm="1">
        <f ca="1" t="array" ref="E586">INDEX(C:C,MATCH(MIN(ABS(C:C-D586)),ABS(C:C-D586),0))</f>
        <v>104021</v>
      </c>
      <c r="G586">
        <f ca="1" t="shared" si="85"/>
        <v>231</v>
      </c>
      <c r="H586">
        <v>4</v>
      </c>
      <c r="I586">
        <v>2</v>
      </c>
      <c r="J586">
        <v>3</v>
      </c>
      <c r="K586">
        <v>1</v>
      </c>
      <c r="L586" cm="1">
        <f t="array" ref="L586:O586">_xlfn.SORTBY($R$4:$U$4,H586:K586)</f>
        <v>1</v>
      </c>
      <c r="M586">
        <v>0</v>
      </c>
      <c r="N586">
        <v>0</v>
      </c>
      <c r="O586">
        <v>0</v>
      </c>
      <c r="P586" t="str">
        <f ca="1" t="shared" si="87"/>
        <v>104021 1 0 0 0</v>
      </c>
      <c r="R586">
        <v>1</v>
      </c>
      <c r="S586">
        <v>0</v>
      </c>
      <c r="T586">
        <v>0</v>
      </c>
      <c r="U586">
        <v>0</v>
      </c>
      <c r="V586" t="str">
        <f ca="1" t="shared" si="86"/>
        <v>104021 1 0 0 0</v>
      </c>
    </row>
    <row r="587" spans="3:22">
      <c r="C587">
        <v>12960</v>
      </c>
      <c r="D587">
        <f ca="1" t="shared" si="83"/>
        <v>104137</v>
      </c>
      <c r="E587" cm="1">
        <f ca="1" t="array" ref="E587">INDEX(C:C,MATCH(MIN(ABS(C:C-D587)),ABS(C:C-D587),0))</f>
        <v>104137</v>
      </c>
      <c r="G587">
        <f ca="1" t="shared" si="85"/>
        <v>116</v>
      </c>
      <c r="H587">
        <v>1</v>
      </c>
      <c r="I587">
        <v>3</v>
      </c>
      <c r="J587">
        <v>2</v>
      </c>
      <c r="K587">
        <v>4</v>
      </c>
      <c r="L587" cm="1">
        <f t="array" ref="L587:O587">_xlfn.SORTBY($R$4:$U$4,H587:K587)</f>
        <v>0</v>
      </c>
      <c r="M587">
        <v>0</v>
      </c>
      <c r="N587">
        <v>0</v>
      </c>
      <c r="O587">
        <v>1</v>
      </c>
      <c r="P587" t="str">
        <f ca="1" t="shared" si="87"/>
        <v>104137 0 0 0 1</v>
      </c>
      <c r="R587">
        <v>0</v>
      </c>
      <c r="S587">
        <v>0</v>
      </c>
      <c r="T587">
        <v>0</v>
      </c>
      <c r="U587">
        <v>1</v>
      </c>
      <c r="V587" t="str">
        <f ca="1" t="shared" si="86"/>
        <v>104137 0 0 0 1</v>
      </c>
    </row>
    <row r="588" spans="3:22">
      <c r="C588">
        <v>12983</v>
      </c>
      <c r="D588">
        <f ca="1" t="shared" si="83"/>
        <v>104367</v>
      </c>
      <c r="E588" cm="1">
        <f ca="1" t="array" ref="E588">INDEX(C:C,MATCH(MIN(ABS(C:C-D588)),ABS(C:C-D588),0))</f>
        <v>104367</v>
      </c>
      <c r="G588">
        <f ca="1" t="shared" si="85"/>
        <v>230</v>
      </c>
      <c r="H588">
        <v>2</v>
      </c>
      <c r="I588">
        <v>3</v>
      </c>
      <c r="J588">
        <v>4</v>
      </c>
      <c r="K588">
        <v>1</v>
      </c>
      <c r="L588" cm="1">
        <f t="array" ref="L588:O588">_xlfn.SORTBY($R$4:$U$4,H588:K588)</f>
        <v>1</v>
      </c>
      <c r="M588">
        <v>0</v>
      </c>
      <c r="N588">
        <v>0</v>
      </c>
      <c r="O588">
        <v>0</v>
      </c>
      <c r="P588" t="str">
        <f ca="1" t="shared" si="87"/>
        <v>104367 1 0 0 0</v>
      </c>
      <c r="R588">
        <v>1</v>
      </c>
      <c r="S588">
        <v>0</v>
      </c>
      <c r="T588">
        <v>0</v>
      </c>
      <c r="U588">
        <v>0</v>
      </c>
      <c r="V588" t="str">
        <f ca="1" t="shared" ref="V588:V619" si="88">E588&amp;" "&amp;R588&amp;" "&amp;S588&amp;" "&amp;T588&amp;" "&amp;U588</f>
        <v>104367 1 0 0 0</v>
      </c>
    </row>
    <row r="589" spans="3:22">
      <c r="C589">
        <v>13006</v>
      </c>
      <c r="D589">
        <f ca="1" t="shared" ref="D589:D652" si="89">ROUND(D66+6000/26*400,0)</f>
        <v>104483</v>
      </c>
      <c r="E589" cm="1">
        <f ca="1" t="array" ref="E589">INDEX(C:C,MATCH(MIN(ABS(C:C-D589)),ABS(C:C-D589),0))</f>
        <v>104483</v>
      </c>
      <c r="G589">
        <f ca="1" t="shared" si="85"/>
        <v>116</v>
      </c>
      <c r="H589">
        <v>1</v>
      </c>
      <c r="I589">
        <v>4</v>
      </c>
      <c r="J589">
        <v>3</v>
      </c>
      <c r="K589">
        <v>2</v>
      </c>
      <c r="L589" cm="1">
        <f t="array" ref="L589:O589">_xlfn.SORTBY($R$4:$U$4,H589:K589)</f>
        <v>0</v>
      </c>
      <c r="M589">
        <v>1</v>
      </c>
      <c r="N589">
        <v>0</v>
      </c>
      <c r="O589">
        <v>0</v>
      </c>
      <c r="P589" t="str">
        <f ca="1" t="shared" ref="P589:P620" si="90">E589&amp;" "&amp;L589&amp;" "&amp;M589&amp;" "&amp;N589&amp;" "&amp;O589</f>
        <v>104483 0 1 0 0</v>
      </c>
      <c r="R589">
        <v>0</v>
      </c>
      <c r="S589">
        <v>1</v>
      </c>
      <c r="T589">
        <v>0</v>
      </c>
      <c r="U589">
        <v>0</v>
      </c>
      <c r="V589" t="str">
        <f ca="1" t="shared" si="88"/>
        <v>104483 0 1 0 0</v>
      </c>
    </row>
    <row r="590" spans="3:22">
      <c r="C590">
        <v>13029</v>
      </c>
      <c r="D590">
        <f ca="1" t="shared" si="89"/>
        <v>104714</v>
      </c>
      <c r="E590" cm="1">
        <f ca="1" t="array" ref="E590">INDEX(C:C,MATCH(MIN(ABS(C:C-D590)),ABS(C:C-D590),0))</f>
        <v>104713</v>
      </c>
      <c r="G590">
        <f ca="1" t="shared" si="85"/>
        <v>230</v>
      </c>
      <c r="H590">
        <v>3</v>
      </c>
      <c r="I590">
        <v>4</v>
      </c>
      <c r="J590">
        <v>1</v>
      </c>
      <c r="K590">
        <v>2</v>
      </c>
      <c r="L590" cm="1">
        <f t="array" ref="L590:O590">_xlfn.SORTBY($R$4:$U$4,H590:K590)</f>
        <v>0</v>
      </c>
      <c r="M590">
        <v>1</v>
      </c>
      <c r="N590">
        <v>0</v>
      </c>
      <c r="O590">
        <v>0</v>
      </c>
      <c r="P590" t="str">
        <f ca="1" t="shared" si="90"/>
        <v>104713 0 1 0 0</v>
      </c>
      <c r="R590">
        <v>0</v>
      </c>
      <c r="S590">
        <v>1</v>
      </c>
      <c r="T590">
        <v>0</v>
      </c>
      <c r="U590">
        <v>0</v>
      </c>
      <c r="V590" t="str">
        <f ca="1" t="shared" si="88"/>
        <v>104713 0 1 0 0</v>
      </c>
    </row>
    <row r="591" spans="3:22">
      <c r="C591">
        <v>13052</v>
      </c>
      <c r="D591">
        <f ca="1" t="shared" si="89"/>
        <v>104829</v>
      </c>
      <c r="E591" cm="1">
        <f ca="1" t="array" ref="E591">INDEX(C:C,MATCH(MIN(ABS(C:C-D591)),ABS(C:C-D591),0))</f>
        <v>104829</v>
      </c>
      <c r="G591">
        <f ca="1" t="shared" si="85"/>
        <v>116</v>
      </c>
      <c r="H591">
        <v>2</v>
      </c>
      <c r="I591">
        <v>1</v>
      </c>
      <c r="J591">
        <v>4</v>
      </c>
      <c r="K591">
        <v>3</v>
      </c>
      <c r="L591" cm="1">
        <f t="array" ref="L591:O591">_xlfn.SORTBY($R$4:$U$4,H591:K591)</f>
        <v>0</v>
      </c>
      <c r="M591">
        <v>0</v>
      </c>
      <c r="N591">
        <v>1</v>
      </c>
      <c r="O591">
        <v>0</v>
      </c>
      <c r="P591" t="str">
        <f ca="1" t="shared" si="90"/>
        <v>104829 0 0 1 0</v>
      </c>
      <c r="R591">
        <v>0</v>
      </c>
      <c r="S591">
        <v>0</v>
      </c>
      <c r="T591">
        <v>1</v>
      </c>
      <c r="U591">
        <v>0</v>
      </c>
      <c r="V591" t="str">
        <f ca="1" t="shared" si="88"/>
        <v>104829 0 0 1 0</v>
      </c>
    </row>
    <row r="592" spans="3:22">
      <c r="C592">
        <v>13075</v>
      </c>
      <c r="D592">
        <f ca="1" t="shared" si="89"/>
        <v>105060</v>
      </c>
      <c r="E592" cm="1">
        <f ca="1" t="array" ref="E592">INDEX(C:C,MATCH(MIN(ABS(C:C-D592)),ABS(C:C-D592),0))</f>
        <v>105060</v>
      </c>
      <c r="G592">
        <f ca="1" t="shared" si="85"/>
        <v>231</v>
      </c>
      <c r="H592">
        <v>3</v>
      </c>
      <c r="I592">
        <v>2</v>
      </c>
      <c r="J592">
        <v>4</v>
      </c>
      <c r="K592">
        <v>1</v>
      </c>
      <c r="L592" cm="1">
        <f t="array" ref="L592:O592">_xlfn.SORTBY($R$4:$U$4,H592:K592)</f>
        <v>1</v>
      </c>
      <c r="M592">
        <v>0</v>
      </c>
      <c r="N592">
        <v>0</v>
      </c>
      <c r="O592">
        <v>0</v>
      </c>
      <c r="P592" t="str">
        <f ca="1" t="shared" si="90"/>
        <v>105060 1 0 0 0</v>
      </c>
      <c r="R592">
        <v>1</v>
      </c>
      <c r="S592">
        <v>0</v>
      </c>
      <c r="T592">
        <v>0</v>
      </c>
      <c r="U592">
        <v>0</v>
      </c>
      <c r="V592" t="str">
        <f ca="1" t="shared" si="88"/>
        <v>105060 1 0 0 0</v>
      </c>
    </row>
    <row r="593" spans="3:22">
      <c r="C593">
        <v>13098</v>
      </c>
      <c r="D593">
        <f ca="1" t="shared" si="89"/>
        <v>105175</v>
      </c>
      <c r="E593" cm="1">
        <f ca="1" t="array" ref="E593">INDEX(C:C,MATCH(MIN(ABS(C:C-D593)),ABS(C:C-D593),0))</f>
        <v>105175</v>
      </c>
      <c r="G593">
        <f ca="1" t="shared" si="85"/>
        <v>115</v>
      </c>
      <c r="H593">
        <v>1</v>
      </c>
      <c r="I593">
        <v>3</v>
      </c>
      <c r="J593">
        <v>2</v>
      </c>
      <c r="K593">
        <v>4</v>
      </c>
      <c r="L593" cm="1">
        <f t="array" ref="L593:O593">_xlfn.SORTBY($R$4:$U$4,H593:K593)</f>
        <v>0</v>
      </c>
      <c r="M593">
        <v>0</v>
      </c>
      <c r="N593">
        <v>0</v>
      </c>
      <c r="O593">
        <v>1</v>
      </c>
      <c r="P593" t="str">
        <f ca="1" t="shared" si="90"/>
        <v>105175 0 0 0 1</v>
      </c>
      <c r="R593">
        <v>0</v>
      </c>
      <c r="S593">
        <v>0</v>
      </c>
      <c r="T593">
        <v>0</v>
      </c>
      <c r="U593">
        <v>1</v>
      </c>
      <c r="V593" t="str">
        <f ca="1" t="shared" si="88"/>
        <v>105175 0 0 0 1</v>
      </c>
    </row>
    <row r="594" spans="3:22">
      <c r="C594">
        <v>13121</v>
      </c>
      <c r="D594">
        <f ca="1" t="shared" si="89"/>
        <v>105406</v>
      </c>
      <c r="E594" cm="1">
        <f ca="1" t="array" ref="E594">INDEX(C:C,MATCH(MIN(ABS(C:C-D594)),ABS(C:C-D594),0))</f>
        <v>105406</v>
      </c>
      <c r="G594">
        <f ca="1" t="shared" si="85"/>
        <v>231</v>
      </c>
      <c r="H594">
        <v>1</v>
      </c>
      <c r="I594">
        <v>2</v>
      </c>
      <c r="J594">
        <v>3</v>
      </c>
      <c r="K594">
        <v>4</v>
      </c>
      <c r="L594" cm="1">
        <f t="array" ref="L594:O594">_xlfn.SORTBY($R$3:$U$3,H594:K594)</f>
        <v>0</v>
      </c>
      <c r="M594">
        <v>0</v>
      </c>
      <c r="N594">
        <v>1</v>
      </c>
      <c r="O594">
        <v>1</v>
      </c>
      <c r="P594" t="str">
        <f ca="1" t="shared" si="90"/>
        <v>105406 0 0 1 1</v>
      </c>
      <c r="R594">
        <v>0</v>
      </c>
      <c r="S594">
        <v>0</v>
      </c>
      <c r="T594">
        <v>1</v>
      </c>
      <c r="U594">
        <v>1</v>
      </c>
      <c r="V594" t="str">
        <f ca="1" t="shared" si="88"/>
        <v>105406 0 0 1 1</v>
      </c>
    </row>
    <row r="595" spans="3:22">
      <c r="C595">
        <v>13144</v>
      </c>
      <c r="D595">
        <f ca="1" t="shared" si="89"/>
        <v>105637</v>
      </c>
      <c r="E595" cm="1">
        <f ca="1" t="array" ref="E595">INDEX(C:C,MATCH(MIN(ABS(C:C-D595)),ABS(C:C-D595),0))</f>
        <v>105637</v>
      </c>
      <c r="G595">
        <f ca="1" t="shared" si="85"/>
        <v>231</v>
      </c>
      <c r="H595">
        <v>4</v>
      </c>
      <c r="I595">
        <v>3</v>
      </c>
      <c r="J595">
        <v>2</v>
      </c>
      <c r="K595">
        <v>1</v>
      </c>
      <c r="L595" cm="1">
        <f t="array" ref="L595:O595">_xlfn.SORTBY($R$4:$U$4,H595:K595)</f>
        <v>1</v>
      </c>
      <c r="M595">
        <v>0</v>
      </c>
      <c r="N595">
        <v>0</v>
      </c>
      <c r="O595">
        <v>0</v>
      </c>
      <c r="P595" t="str">
        <f ca="1" t="shared" si="90"/>
        <v>105637 1 0 0 0</v>
      </c>
      <c r="R595">
        <v>1</v>
      </c>
      <c r="S595">
        <v>0</v>
      </c>
      <c r="T595">
        <v>0</v>
      </c>
      <c r="U595">
        <v>0</v>
      </c>
      <c r="V595" t="str">
        <f ca="1" t="shared" si="88"/>
        <v>105637 1 0 0 0</v>
      </c>
    </row>
    <row r="596" spans="3:22">
      <c r="C596">
        <v>13167</v>
      </c>
      <c r="D596">
        <f ca="1" t="shared" si="89"/>
        <v>105868</v>
      </c>
      <c r="E596" cm="1">
        <f ca="1" t="array" ref="E596">INDEX(C:C,MATCH(MIN(ABS(C:C-D596)),ABS(C:C-D596),0))</f>
        <v>105867</v>
      </c>
      <c r="G596">
        <f ca="1" t="shared" si="85"/>
        <v>230</v>
      </c>
      <c r="H596">
        <v>1</v>
      </c>
      <c r="I596">
        <v>3</v>
      </c>
      <c r="J596">
        <v>2</v>
      </c>
      <c r="K596">
        <v>4</v>
      </c>
      <c r="L596" cm="1">
        <f t="array" ref="L596:O596">_xlfn.SORTBY($R$4:$U$4,H596:K596)</f>
        <v>0</v>
      </c>
      <c r="M596">
        <v>0</v>
      </c>
      <c r="N596">
        <v>0</v>
      </c>
      <c r="O596">
        <v>1</v>
      </c>
      <c r="P596" t="str">
        <f ca="1" t="shared" si="90"/>
        <v>105867 0 0 0 1</v>
      </c>
      <c r="R596">
        <v>0</v>
      </c>
      <c r="S596">
        <v>0</v>
      </c>
      <c r="T596">
        <v>0</v>
      </c>
      <c r="U596">
        <v>1</v>
      </c>
      <c r="V596" t="str">
        <f ca="1" t="shared" si="88"/>
        <v>105867 0 0 0 1</v>
      </c>
    </row>
    <row r="597" spans="3:22">
      <c r="C597">
        <v>13190</v>
      </c>
      <c r="D597">
        <f ca="1" t="shared" si="89"/>
        <v>105983</v>
      </c>
      <c r="E597" cm="1">
        <f ca="1" t="array" ref="E597">INDEX(C:C,MATCH(MIN(ABS(C:C-D597)),ABS(C:C-D597),0))</f>
        <v>105983</v>
      </c>
      <c r="G597">
        <f ca="1" t="shared" si="85"/>
        <v>116</v>
      </c>
      <c r="H597">
        <v>4</v>
      </c>
      <c r="I597">
        <v>2</v>
      </c>
      <c r="J597">
        <v>3</v>
      </c>
      <c r="K597">
        <v>1</v>
      </c>
      <c r="L597" cm="1">
        <f t="array" ref="L597:O597">_xlfn.SORTBY($R$4:$U$4,H597:K597)</f>
        <v>1</v>
      </c>
      <c r="M597">
        <v>0</v>
      </c>
      <c r="N597">
        <v>0</v>
      </c>
      <c r="O597">
        <v>0</v>
      </c>
      <c r="P597" t="str">
        <f ca="1" t="shared" si="90"/>
        <v>105983 1 0 0 0</v>
      </c>
      <c r="R597">
        <v>1</v>
      </c>
      <c r="S597">
        <v>0</v>
      </c>
      <c r="T597">
        <v>0</v>
      </c>
      <c r="U597">
        <v>0</v>
      </c>
      <c r="V597" t="str">
        <f ca="1" t="shared" si="88"/>
        <v>105983 1 0 0 0</v>
      </c>
    </row>
    <row r="598" spans="3:22">
      <c r="C598">
        <v>13213</v>
      </c>
      <c r="D598">
        <f ca="1" t="shared" si="89"/>
        <v>106214</v>
      </c>
      <c r="E598" cm="1">
        <f ca="1" t="array" ref="E598">INDEX(C:C,MATCH(MIN(ABS(C:C-D598)),ABS(C:C-D598),0))</f>
        <v>106213</v>
      </c>
      <c r="G598">
        <f ca="1" t="shared" si="85"/>
        <v>230</v>
      </c>
      <c r="H598">
        <v>1</v>
      </c>
      <c r="I598">
        <v>4</v>
      </c>
      <c r="J598">
        <v>3</v>
      </c>
      <c r="K598">
        <v>2</v>
      </c>
      <c r="L598" cm="1">
        <f t="array" ref="L598:O598">_xlfn.SORTBY($R$4:$U$4,H598:K598)</f>
        <v>0</v>
      </c>
      <c r="M598">
        <v>1</v>
      </c>
      <c r="N598">
        <v>0</v>
      </c>
      <c r="O598">
        <v>0</v>
      </c>
      <c r="P598" t="str">
        <f ca="1" t="shared" si="90"/>
        <v>106213 0 1 0 0</v>
      </c>
      <c r="R598">
        <v>0</v>
      </c>
      <c r="S598">
        <v>1</v>
      </c>
      <c r="T598">
        <v>0</v>
      </c>
      <c r="U598">
        <v>0</v>
      </c>
      <c r="V598" t="str">
        <f ca="1" t="shared" si="88"/>
        <v>106213 0 1 0 0</v>
      </c>
    </row>
    <row r="599" spans="3:22">
      <c r="C599">
        <v>13237</v>
      </c>
      <c r="D599">
        <f ca="1" t="shared" si="89"/>
        <v>106329</v>
      </c>
      <c r="E599" cm="1">
        <f ca="1" t="array" ref="E599">INDEX(C:C,MATCH(MIN(ABS(C:C-D599)),ABS(C:C-D599),0))</f>
        <v>106329</v>
      </c>
      <c r="G599">
        <f ca="1" t="shared" si="85"/>
        <v>116</v>
      </c>
      <c r="H599">
        <v>2</v>
      </c>
      <c r="I599">
        <v>3</v>
      </c>
      <c r="J599">
        <v>4</v>
      </c>
      <c r="K599">
        <v>1</v>
      </c>
      <c r="L599" cm="1">
        <f t="array" ref="L599:O599">_xlfn.SORTBY($R$4:$U$4,H599:K599)</f>
        <v>1</v>
      </c>
      <c r="M599">
        <v>0</v>
      </c>
      <c r="N599">
        <v>0</v>
      </c>
      <c r="O599">
        <v>0</v>
      </c>
      <c r="P599" t="str">
        <f ca="1" t="shared" si="90"/>
        <v>106329 1 0 0 0</v>
      </c>
      <c r="R599">
        <v>1</v>
      </c>
      <c r="S599">
        <v>0</v>
      </c>
      <c r="T599">
        <v>0</v>
      </c>
      <c r="U599">
        <v>0</v>
      </c>
      <c r="V599" t="str">
        <f ca="1" t="shared" si="88"/>
        <v>106329 1 0 0 0</v>
      </c>
    </row>
    <row r="600" spans="3:22">
      <c r="C600">
        <v>13260</v>
      </c>
      <c r="D600">
        <f ca="1" t="shared" si="89"/>
        <v>106560</v>
      </c>
      <c r="E600" cm="1">
        <f ca="1" t="array" ref="E600">INDEX(C:C,MATCH(MIN(ABS(C:C-D600)),ABS(C:C-D600),0))</f>
        <v>106560</v>
      </c>
      <c r="G600">
        <f ca="1" t="shared" si="85"/>
        <v>231</v>
      </c>
      <c r="H600">
        <v>2</v>
      </c>
      <c r="I600">
        <v>1</v>
      </c>
      <c r="J600">
        <v>4</v>
      </c>
      <c r="K600">
        <v>3</v>
      </c>
      <c r="L600" cm="1">
        <f t="array" ref="L600:O600">_xlfn.SORTBY($R$4:$U$4,H600:K600)</f>
        <v>0</v>
      </c>
      <c r="M600">
        <v>0</v>
      </c>
      <c r="N600">
        <v>1</v>
      </c>
      <c r="O600">
        <v>0</v>
      </c>
      <c r="P600" t="str">
        <f ca="1" t="shared" si="90"/>
        <v>106560 0 0 1 0</v>
      </c>
      <c r="R600">
        <v>0</v>
      </c>
      <c r="S600">
        <v>0</v>
      </c>
      <c r="T600">
        <v>1</v>
      </c>
      <c r="U600">
        <v>0</v>
      </c>
      <c r="V600" t="str">
        <f ca="1" t="shared" si="88"/>
        <v>106560 0 0 1 0</v>
      </c>
    </row>
    <row r="601" spans="3:22">
      <c r="C601">
        <v>13283</v>
      </c>
      <c r="D601">
        <f ca="1" t="shared" si="89"/>
        <v>106675</v>
      </c>
      <c r="E601" cm="1">
        <f ca="1" t="array" ref="E601">INDEX(C:C,MATCH(MIN(ABS(C:C-D601)),ABS(C:C-D601),0))</f>
        <v>106675</v>
      </c>
      <c r="G601">
        <f ca="1" t="shared" si="85"/>
        <v>115</v>
      </c>
      <c r="H601">
        <v>3</v>
      </c>
      <c r="I601">
        <v>4</v>
      </c>
      <c r="J601">
        <v>1</v>
      </c>
      <c r="K601">
        <v>2</v>
      </c>
      <c r="L601" cm="1">
        <f t="array" ref="L601:O601">_xlfn.SORTBY($R$4:$U$4,H601:K601)</f>
        <v>0</v>
      </c>
      <c r="M601">
        <v>1</v>
      </c>
      <c r="N601">
        <v>0</v>
      </c>
      <c r="O601">
        <v>0</v>
      </c>
      <c r="P601" t="str">
        <f ca="1" t="shared" si="90"/>
        <v>106675 0 1 0 0</v>
      </c>
      <c r="R601">
        <v>0</v>
      </c>
      <c r="S601">
        <v>1</v>
      </c>
      <c r="T601">
        <v>0</v>
      </c>
      <c r="U601">
        <v>0</v>
      </c>
      <c r="V601" t="str">
        <f ca="1" t="shared" si="88"/>
        <v>106675 0 1 0 0</v>
      </c>
    </row>
    <row r="602" spans="3:22">
      <c r="C602">
        <v>13306</v>
      </c>
      <c r="D602">
        <f ca="1" t="shared" si="89"/>
        <v>106906</v>
      </c>
      <c r="E602" cm="1">
        <f ca="1" t="array" ref="E602">INDEX(C:C,MATCH(MIN(ABS(C:C-D602)),ABS(C:C-D602),0))</f>
        <v>106906</v>
      </c>
      <c r="G602">
        <f ca="1" t="shared" si="85"/>
        <v>231</v>
      </c>
      <c r="H602">
        <v>1</v>
      </c>
      <c r="I602">
        <v>3</v>
      </c>
      <c r="J602">
        <v>2</v>
      </c>
      <c r="K602">
        <v>4</v>
      </c>
      <c r="L602" cm="1">
        <f t="array" ref="L602:O602">_xlfn.SORTBY($R$4:$U$4,H602:K602)</f>
        <v>0</v>
      </c>
      <c r="M602">
        <v>0</v>
      </c>
      <c r="N602">
        <v>0</v>
      </c>
      <c r="O602">
        <v>1</v>
      </c>
      <c r="P602" t="str">
        <f ca="1" t="shared" si="90"/>
        <v>106906 0 0 0 1</v>
      </c>
      <c r="R602">
        <v>0</v>
      </c>
      <c r="S602">
        <v>0</v>
      </c>
      <c r="T602">
        <v>0</v>
      </c>
      <c r="U602">
        <v>1</v>
      </c>
      <c r="V602" t="str">
        <f ca="1" t="shared" si="88"/>
        <v>106906 0 0 0 1</v>
      </c>
    </row>
    <row r="603" spans="3:22">
      <c r="C603">
        <v>13329</v>
      </c>
      <c r="D603">
        <f ca="1" t="shared" si="89"/>
        <v>107021</v>
      </c>
      <c r="E603" cm="1">
        <f ca="1" t="array" ref="E603">INDEX(C:C,MATCH(MIN(ABS(C:C-D603)),ABS(C:C-D603),0))</f>
        <v>107021</v>
      </c>
      <c r="G603">
        <f ca="1" t="shared" si="85"/>
        <v>115</v>
      </c>
      <c r="H603">
        <v>3</v>
      </c>
      <c r="I603">
        <v>2</v>
      </c>
      <c r="J603">
        <v>4</v>
      </c>
      <c r="K603">
        <v>1</v>
      </c>
      <c r="L603" cm="1">
        <f t="array" ref="L603:O603">_xlfn.SORTBY($R$4:$U$4,H603:K603)</f>
        <v>1</v>
      </c>
      <c r="M603">
        <v>0</v>
      </c>
      <c r="N603">
        <v>0</v>
      </c>
      <c r="O603">
        <v>0</v>
      </c>
      <c r="P603" t="str">
        <f ca="1" t="shared" si="90"/>
        <v>107021 1 0 0 0</v>
      </c>
      <c r="R603">
        <v>1</v>
      </c>
      <c r="S603">
        <v>0</v>
      </c>
      <c r="T603">
        <v>0</v>
      </c>
      <c r="U603">
        <v>0</v>
      </c>
      <c r="V603" t="str">
        <f ca="1" t="shared" si="88"/>
        <v>107021 1 0 0 0</v>
      </c>
    </row>
    <row r="604" spans="3:22">
      <c r="C604">
        <v>13352</v>
      </c>
      <c r="D604">
        <f ca="1" t="shared" si="89"/>
        <v>107252</v>
      </c>
      <c r="E604" cm="1">
        <f ca="1" t="array" ref="E604">INDEX(C:C,MATCH(MIN(ABS(C:C-D604)),ABS(C:C-D604),0))</f>
        <v>107252</v>
      </c>
      <c r="G604">
        <f ca="1" t="shared" si="85"/>
        <v>231</v>
      </c>
      <c r="H604">
        <v>1</v>
      </c>
      <c r="I604">
        <v>2</v>
      </c>
      <c r="J604">
        <v>3</v>
      </c>
      <c r="K604">
        <v>4</v>
      </c>
      <c r="L604" cm="1">
        <f t="array" ref="L604:O604">_xlfn.SORTBY($R$3:$U$3,H604:K604)</f>
        <v>0</v>
      </c>
      <c r="M604">
        <v>0</v>
      </c>
      <c r="N604">
        <v>1</v>
      </c>
      <c r="O604">
        <v>1</v>
      </c>
      <c r="P604" t="str">
        <f ca="1" t="shared" si="90"/>
        <v>107252 0 0 1 1</v>
      </c>
      <c r="R604">
        <v>0</v>
      </c>
      <c r="S604">
        <v>0</v>
      </c>
      <c r="T604">
        <v>1</v>
      </c>
      <c r="U604">
        <v>1</v>
      </c>
      <c r="V604" t="str">
        <f ca="1" t="shared" si="88"/>
        <v>107252 0 0 1 1</v>
      </c>
    </row>
    <row r="605" spans="3:22">
      <c r="C605">
        <v>13375</v>
      </c>
      <c r="D605">
        <f ca="1" t="shared" si="89"/>
        <v>107482</v>
      </c>
      <c r="E605" cm="1">
        <f ca="1" t="array" ref="E605">INDEX(C:C,MATCH(MIN(ABS(C:C-D605)),ABS(C:C-D605),0))</f>
        <v>107483</v>
      </c>
      <c r="G605">
        <f ca="1" t="shared" si="85"/>
        <v>231</v>
      </c>
      <c r="H605">
        <v>4</v>
      </c>
      <c r="I605">
        <v>3</v>
      </c>
      <c r="J605">
        <v>2</v>
      </c>
      <c r="K605">
        <v>1</v>
      </c>
      <c r="L605" cm="1">
        <f t="array" ref="L605:O605">_xlfn.SORTBY($R$3:$U$3,H605:K605)</f>
        <v>1</v>
      </c>
      <c r="M605">
        <v>1</v>
      </c>
      <c r="N605">
        <v>0</v>
      </c>
      <c r="O605">
        <v>0</v>
      </c>
      <c r="P605" t="str">
        <f ca="1" t="shared" si="90"/>
        <v>107483 1 1 0 0</v>
      </c>
      <c r="R605">
        <v>1</v>
      </c>
      <c r="S605">
        <v>0</v>
      </c>
      <c r="T605">
        <v>0</v>
      </c>
      <c r="U605">
        <v>0</v>
      </c>
      <c r="V605" t="str">
        <f ca="1" t="shared" si="88"/>
        <v>107483 1 0 0 0</v>
      </c>
    </row>
    <row r="606" spans="3:22">
      <c r="C606">
        <v>13398</v>
      </c>
      <c r="D606">
        <f ca="1" t="shared" si="89"/>
        <v>107713</v>
      </c>
      <c r="E606" cm="1">
        <f ca="1" t="array" ref="E606">INDEX(C:C,MATCH(MIN(ABS(C:C-D606)),ABS(C:C-D606),0))</f>
        <v>107713</v>
      </c>
      <c r="G606">
        <f ca="1" t="shared" si="85"/>
        <v>230</v>
      </c>
      <c r="H606">
        <v>1</v>
      </c>
      <c r="I606">
        <v>3</v>
      </c>
      <c r="J606">
        <v>2</v>
      </c>
      <c r="K606">
        <v>4</v>
      </c>
      <c r="L606" cm="1">
        <f t="array" ref="L606:O606">_xlfn.SORTBY($R$3:$U$3,H606:K606)</f>
        <v>0</v>
      </c>
      <c r="M606">
        <v>1</v>
      </c>
      <c r="N606">
        <v>0</v>
      </c>
      <c r="O606">
        <v>1</v>
      </c>
      <c r="P606" t="str">
        <f ca="1" t="shared" si="90"/>
        <v>107713 0 1 0 1</v>
      </c>
      <c r="R606">
        <v>0</v>
      </c>
      <c r="S606">
        <v>0</v>
      </c>
      <c r="T606">
        <v>0</v>
      </c>
      <c r="U606">
        <v>1</v>
      </c>
      <c r="V606" t="str">
        <f ca="1" t="shared" si="88"/>
        <v>107713 0 0 0 1</v>
      </c>
    </row>
    <row r="607" spans="3:22">
      <c r="C607">
        <v>13421</v>
      </c>
      <c r="D607">
        <f ca="1" t="shared" si="89"/>
        <v>107829</v>
      </c>
      <c r="E607" cm="1">
        <f ca="1" t="array" ref="E607">INDEX(C:C,MATCH(MIN(ABS(C:C-D607)),ABS(C:C-D607),0))</f>
        <v>107829</v>
      </c>
      <c r="G607">
        <f ca="1" t="shared" si="85"/>
        <v>116</v>
      </c>
      <c r="H607">
        <v>4</v>
      </c>
      <c r="I607">
        <v>2</v>
      </c>
      <c r="J607">
        <v>3</v>
      </c>
      <c r="K607">
        <v>1</v>
      </c>
      <c r="L607" cm="1">
        <f t="array" ref="L607:O607">_xlfn.SORTBY($R$3:$U$3,H607:K607)</f>
        <v>1</v>
      </c>
      <c r="M607">
        <v>0</v>
      </c>
      <c r="N607">
        <v>1</v>
      </c>
      <c r="O607">
        <v>0</v>
      </c>
      <c r="P607" t="str">
        <f ca="1" t="shared" si="90"/>
        <v>107829 1 0 1 0</v>
      </c>
      <c r="R607">
        <v>1</v>
      </c>
      <c r="S607">
        <v>0</v>
      </c>
      <c r="T607">
        <v>0</v>
      </c>
      <c r="U607">
        <v>0</v>
      </c>
      <c r="V607" t="str">
        <f ca="1" t="shared" si="88"/>
        <v>107829 1 0 0 0</v>
      </c>
    </row>
    <row r="608" spans="3:22">
      <c r="C608">
        <v>13444</v>
      </c>
      <c r="D608">
        <f ca="1" t="shared" si="89"/>
        <v>108059</v>
      </c>
      <c r="E608" cm="1">
        <f ca="1" t="array" ref="E608">INDEX(C:C,MATCH(MIN(ABS(C:C-D608)),ABS(C:C-D608),0))</f>
        <v>108060</v>
      </c>
      <c r="G608">
        <f ca="1" t="shared" si="85"/>
        <v>231</v>
      </c>
      <c r="H608">
        <v>1</v>
      </c>
      <c r="I608">
        <v>4</v>
      </c>
      <c r="J608">
        <v>3</v>
      </c>
      <c r="K608">
        <v>2</v>
      </c>
      <c r="L608" cm="1">
        <f t="array" ref="L608:O608">_xlfn.SORTBY($R$3:$U$3,H608:K608)</f>
        <v>0</v>
      </c>
      <c r="M608">
        <v>1</v>
      </c>
      <c r="N608">
        <v>1</v>
      </c>
      <c r="O608">
        <v>0</v>
      </c>
      <c r="P608" t="str">
        <f ca="1" t="shared" si="90"/>
        <v>108060 0 1 1 0</v>
      </c>
      <c r="R608">
        <v>0</v>
      </c>
      <c r="S608">
        <v>1</v>
      </c>
      <c r="T608">
        <v>0</v>
      </c>
      <c r="U608">
        <v>0</v>
      </c>
      <c r="V608" t="str">
        <f ca="1" t="shared" si="88"/>
        <v>108060 0 1 0 0</v>
      </c>
    </row>
    <row r="609" spans="3:22">
      <c r="C609">
        <v>13467</v>
      </c>
      <c r="D609">
        <f ca="1" t="shared" si="89"/>
        <v>108175</v>
      </c>
      <c r="E609" cm="1">
        <f ca="1" t="array" ref="E609">INDEX(C:C,MATCH(MIN(ABS(C:C-D609)),ABS(C:C-D609),0))</f>
        <v>108175</v>
      </c>
      <c r="G609">
        <f ca="1" t="shared" si="85"/>
        <v>115</v>
      </c>
      <c r="H609">
        <v>2</v>
      </c>
      <c r="I609">
        <v>3</v>
      </c>
      <c r="J609">
        <v>4</v>
      </c>
      <c r="K609">
        <v>1</v>
      </c>
      <c r="L609" cm="1">
        <f t="array" ref="L609:O609">_xlfn.SORTBY($R$3:$U$3,H609:K609)</f>
        <v>1</v>
      </c>
      <c r="M609">
        <v>0</v>
      </c>
      <c r="N609">
        <v>0</v>
      </c>
      <c r="O609">
        <v>1</v>
      </c>
      <c r="P609" t="str">
        <f ca="1" t="shared" si="90"/>
        <v>108175 1 0 0 1</v>
      </c>
      <c r="R609">
        <v>1</v>
      </c>
      <c r="S609">
        <v>0</v>
      </c>
      <c r="T609">
        <v>0</v>
      </c>
      <c r="U609">
        <v>0</v>
      </c>
      <c r="V609" t="str">
        <f ca="1" t="shared" si="88"/>
        <v>108175 1 0 0 0</v>
      </c>
    </row>
    <row r="610" spans="3:22">
      <c r="C610">
        <v>13490</v>
      </c>
      <c r="D610">
        <f ca="1" t="shared" si="89"/>
        <v>108406</v>
      </c>
      <c r="E610" cm="1">
        <f ca="1" t="array" ref="E610">INDEX(C:C,MATCH(MIN(ABS(C:C-D610)),ABS(C:C-D610),0))</f>
        <v>108406</v>
      </c>
      <c r="G610">
        <f ca="1" t="shared" si="85"/>
        <v>231</v>
      </c>
      <c r="H610">
        <v>2</v>
      </c>
      <c r="I610">
        <v>1</v>
      </c>
      <c r="J610">
        <v>4</v>
      </c>
      <c r="K610">
        <v>3</v>
      </c>
      <c r="L610" cm="1">
        <f t="array" ref="L610:O610">_xlfn.SORTBY($R$3:$U$3,H610:K610)</f>
        <v>0</v>
      </c>
      <c r="M610">
        <v>0</v>
      </c>
      <c r="N610">
        <v>1</v>
      </c>
      <c r="O610">
        <v>1</v>
      </c>
      <c r="P610" t="str">
        <f ca="1" t="shared" si="90"/>
        <v>108406 0 0 1 1</v>
      </c>
      <c r="R610">
        <v>0</v>
      </c>
      <c r="S610">
        <v>0</v>
      </c>
      <c r="T610">
        <v>1</v>
      </c>
      <c r="U610">
        <v>0</v>
      </c>
      <c r="V610" t="str">
        <f ca="1" t="shared" si="88"/>
        <v>108406 0 0 1 0</v>
      </c>
    </row>
    <row r="611" spans="3:22">
      <c r="C611">
        <v>13513</v>
      </c>
      <c r="D611">
        <f ca="1" t="shared" si="89"/>
        <v>108521</v>
      </c>
      <c r="E611" cm="1">
        <f ca="1" t="array" ref="E611">INDEX(C:C,MATCH(MIN(ABS(C:C-D611)),ABS(C:C-D611),0))</f>
        <v>108521</v>
      </c>
      <c r="G611">
        <f ca="1" t="shared" si="85"/>
        <v>115</v>
      </c>
      <c r="H611">
        <v>3</v>
      </c>
      <c r="I611">
        <v>4</v>
      </c>
      <c r="J611">
        <v>1</v>
      </c>
      <c r="K611">
        <v>2</v>
      </c>
      <c r="L611" cm="1">
        <f t="array" ref="L611:O611">_xlfn.SORTBY($R$3:$U$3,H611:K611)</f>
        <v>1</v>
      </c>
      <c r="M611">
        <v>1</v>
      </c>
      <c r="N611">
        <v>0</v>
      </c>
      <c r="O611">
        <v>0</v>
      </c>
      <c r="P611" t="str">
        <f ca="1" t="shared" si="90"/>
        <v>108521 1 1 0 0</v>
      </c>
      <c r="R611">
        <v>0</v>
      </c>
      <c r="S611">
        <v>1</v>
      </c>
      <c r="T611">
        <v>0</v>
      </c>
      <c r="U611">
        <v>0</v>
      </c>
      <c r="V611" t="str">
        <f ca="1" t="shared" si="88"/>
        <v>108521 0 1 0 0</v>
      </c>
    </row>
    <row r="612" spans="3:22">
      <c r="C612">
        <v>13537</v>
      </c>
      <c r="D612">
        <f ca="1" t="shared" si="89"/>
        <v>108752</v>
      </c>
      <c r="E612" cm="1">
        <f ca="1" t="array" ref="E612">INDEX(C:C,MATCH(MIN(ABS(C:C-D612)),ABS(C:C-D612),0))</f>
        <v>108752</v>
      </c>
      <c r="G612">
        <f ca="1" t="shared" si="85"/>
        <v>231</v>
      </c>
      <c r="H612">
        <v>1</v>
      </c>
      <c r="I612">
        <v>3</v>
      </c>
      <c r="J612">
        <v>2</v>
      </c>
      <c r="K612">
        <v>4</v>
      </c>
      <c r="L612" cm="1">
        <f t="array" ref="L612:O612">_xlfn.SORTBY($R$3:$U$3,H612:K612)</f>
        <v>0</v>
      </c>
      <c r="M612">
        <v>1</v>
      </c>
      <c r="N612">
        <v>0</v>
      </c>
      <c r="O612">
        <v>1</v>
      </c>
      <c r="P612" t="str">
        <f ca="1" t="shared" si="90"/>
        <v>108752 0 1 0 1</v>
      </c>
      <c r="R612">
        <v>0</v>
      </c>
      <c r="S612">
        <v>0</v>
      </c>
      <c r="T612">
        <v>0</v>
      </c>
      <c r="U612">
        <v>1</v>
      </c>
      <c r="V612" t="str">
        <f ca="1" t="shared" si="88"/>
        <v>108752 0 0 0 1</v>
      </c>
    </row>
    <row r="613" spans="3:22">
      <c r="C613">
        <v>13560</v>
      </c>
      <c r="D613">
        <f ca="1" t="shared" si="89"/>
        <v>108867</v>
      </c>
      <c r="E613" cm="1">
        <f ca="1" t="array" ref="E613">INDEX(C:C,MATCH(MIN(ABS(C:C-D613)),ABS(C:C-D613),0))</f>
        <v>108867</v>
      </c>
      <c r="G613">
        <f ca="1" t="shared" si="85"/>
        <v>115</v>
      </c>
      <c r="H613">
        <v>3</v>
      </c>
      <c r="I613">
        <v>2</v>
      </c>
      <c r="J613">
        <v>4</v>
      </c>
      <c r="K613">
        <v>1</v>
      </c>
      <c r="L613" cm="1">
        <f t="array" ref="L613:O613">_xlfn.SORTBY($R$3:$U$3,H613:K613)</f>
        <v>1</v>
      </c>
      <c r="M613">
        <v>0</v>
      </c>
      <c r="N613">
        <v>0</v>
      </c>
      <c r="O613">
        <v>1</v>
      </c>
      <c r="P613" t="str">
        <f ca="1" t="shared" si="90"/>
        <v>108867 1 0 0 1</v>
      </c>
      <c r="R613">
        <v>1</v>
      </c>
      <c r="S613">
        <v>0</v>
      </c>
      <c r="T613">
        <v>0</v>
      </c>
      <c r="U613">
        <v>0</v>
      </c>
      <c r="V613" t="str">
        <f ca="1" t="shared" si="88"/>
        <v>108867 1 0 0 0</v>
      </c>
    </row>
    <row r="614" spans="3:22">
      <c r="C614">
        <v>13583</v>
      </c>
      <c r="D614">
        <f ca="1" t="shared" si="89"/>
        <v>109098</v>
      </c>
      <c r="E614" cm="1">
        <f ca="1" t="array" ref="E614">INDEX(C:C,MATCH(MIN(ABS(C:C-D614)),ABS(C:C-D614),0))</f>
        <v>109098</v>
      </c>
      <c r="G614">
        <f ca="1" t="shared" si="85"/>
        <v>231</v>
      </c>
      <c r="H614">
        <v>4</v>
      </c>
      <c r="I614">
        <v>3</v>
      </c>
      <c r="J614">
        <v>2</v>
      </c>
      <c r="K614">
        <v>1</v>
      </c>
      <c r="L614" cm="1">
        <f t="array" ref="L614:O614">_xlfn.SORTBY($R$3:$U$3,H614:K614)</f>
        <v>1</v>
      </c>
      <c r="M614">
        <v>1</v>
      </c>
      <c r="N614">
        <v>0</v>
      </c>
      <c r="O614">
        <v>0</v>
      </c>
      <c r="P614" t="str">
        <f ca="1" t="shared" si="90"/>
        <v>109098 1 1 0 0</v>
      </c>
      <c r="R614">
        <v>1</v>
      </c>
      <c r="S614">
        <v>1</v>
      </c>
      <c r="T614">
        <v>0</v>
      </c>
      <c r="U614">
        <v>0</v>
      </c>
      <c r="V614" t="str">
        <f ca="1" t="shared" si="88"/>
        <v>109098 1 1 0 0</v>
      </c>
    </row>
    <row r="615" spans="3:22">
      <c r="C615">
        <v>13606</v>
      </c>
      <c r="D615">
        <f ca="1" t="shared" si="89"/>
        <v>109329</v>
      </c>
      <c r="E615" cm="1">
        <f ca="1" t="array" ref="E615">INDEX(C:C,MATCH(MIN(ABS(C:C-D615)),ABS(C:C-D615),0))</f>
        <v>109329</v>
      </c>
      <c r="G615">
        <f ca="1" t="shared" si="85"/>
        <v>231</v>
      </c>
      <c r="H615">
        <v>1</v>
      </c>
      <c r="I615">
        <v>2</v>
      </c>
      <c r="J615">
        <v>3</v>
      </c>
      <c r="K615">
        <v>4</v>
      </c>
      <c r="L615" cm="1">
        <f t="array" ref="L615:O615">_xlfn.SORTBY($R$3:$U$3,H615:K615)</f>
        <v>0</v>
      </c>
      <c r="M615">
        <v>0</v>
      </c>
      <c r="N615">
        <v>1</v>
      </c>
      <c r="O615">
        <v>1</v>
      </c>
      <c r="P615" t="str">
        <f ca="1" t="shared" si="90"/>
        <v>109329 0 0 1 1</v>
      </c>
      <c r="R615">
        <v>0</v>
      </c>
      <c r="S615">
        <v>0</v>
      </c>
      <c r="T615">
        <v>0</v>
      </c>
      <c r="U615">
        <v>1</v>
      </c>
      <c r="V615" t="str">
        <f ca="1" t="shared" si="88"/>
        <v>109329 0 0 0 1</v>
      </c>
    </row>
    <row r="616" spans="3:22">
      <c r="C616">
        <v>13629</v>
      </c>
      <c r="D616">
        <f ca="1" t="shared" si="89"/>
        <v>109560</v>
      </c>
      <c r="E616" cm="1">
        <f ca="1" t="array" ref="E616">INDEX(C:C,MATCH(MIN(ABS(C:C-D616)),ABS(C:C-D616),0))</f>
        <v>109560</v>
      </c>
      <c r="G616">
        <f ca="1" t="shared" si="85"/>
        <v>231</v>
      </c>
      <c r="H616">
        <v>4</v>
      </c>
      <c r="I616">
        <v>2</v>
      </c>
      <c r="J616">
        <v>3</v>
      </c>
      <c r="K616">
        <v>1</v>
      </c>
      <c r="L616" cm="1">
        <f t="array" ref="L616:O616">_xlfn.SORTBY($R$3:$U$3,H616:K616)</f>
        <v>1</v>
      </c>
      <c r="M616">
        <v>0</v>
      </c>
      <c r="N616">
        <v>1</v>
      </c>
      <c r="O616">
        <v>0</v>
      </c>
      <c r="P616" t="str">
        <f ca="1" t="shared" si="90"/>
        <v>109560 1 0 1 0</v>
      </c>
      <c r="R616">
        <v>1</v>
      </c>
      <c r="S616">
        <v>0</v>
      </c>
      <c r="T616">
        <v>0</v>
      </c>
      <c r="U616">
        <v>0</v>
      </c>
      <c r="V616" t="str">
        <f ca="1" t="shared" si="88"/>
        <v>109560 1 0 0 0</v>
      </c>
    </row>
    <row r="617" spans="3:22">
      <c r="C617">
        <v>13652</v>
      </c>
      <c r="D617">
        <f ca="1" t="shared" si="89"/>
        <v>109675</v>
      </c>
      <c r="E617" cm="1">
        <f ca="1" t="array" ref="E617">INDEX(C:C,MATCH(MIN(ABS(C:C-D617)),ABS(C:C-D617),0))</f>
        <v>109675</v>
      </c>
      <c r="G617">
        <f ca="1" t="shared" ref="G617:G680" si="91">E617-E616</f>
        <v>115</v>
      </c>
      <c r="H617">
        <v>1</v>
      </c>
      <c r="I617">
        <v>3</v>
      </c>
      <c r="J617">
        <v>2</v>
      </c>
      <c r="K617">
        <v>4</v>
      </c>
      <c r="L617" cm="1">
        <f t="array" ref="L617:O617">_xlfn.SORTBY($R$3:$U$3,H617:K617)</f>
        <v>0</v>
      </c>
      <c r="M617">
        <v>1</v>
      </c>
      <c r="N617">
        <v>0</v>
      </c>
      <c r="O617">
        <v>1</v>
      </c>
      <c r="P617" t="str">
        <f ca="1" t="shared" si="90"/>
        <v>109675 0 1 0 1</v>
      </c>
      <c r="R617">
        <v>0</v>
      </c>
      <c r="S617">
        <v>0</v>
      </c>
      <c r="T617">
        <v>0</v>
      </c>
      <c r="U617">
        <v>1</v>
      </c>
      <c r="V617" t="str">
        <f ca="1" t="shared" si="88"/>
        <v>109675 0 0 0 1</v>
      </c>
    </row>
    <row r="618" spans="3:22">
      <c r="C618">
        <v>13675</v>
      </c>
      <c r="D618">
        <f ca="1" t="shared" si="89"/>
        <v>109906</v>
      </c>
      <c r="E618" cm="1">
        <f ca="1" t="array" ref="E618">INDEX(C:C,MATCH(MIN(ABS(C:C-D618)),ABS(C:C-D618),0))</f>
        <v>109906</v>
      </c>
      <c r="G618">
        <f ca="1" t="shared" si="91"/>
        <v>231</v>
      </c>
      <c r="H618">
        <v>2</v>
      </c>
      <c r="I618">
        <v>3</v>
      </c>
      <c r="J618">
        <v>4</v>
      </c>
      <c r="K618">
        <v>1</v>
      </c>
      <c r="L618" cm="1">
        <f t="array" ref="L618:O618">_xlfn.SORTBY($R$3:$U$3,H618:K618)</f>
        <v>1</v>
      </c>
      <c r="M618">
        <v>0</v>
      </c>
      <c r="N618">
        <v>0</v>
      </c>
      <c r="O618">
        <v>1</v>
      </c>
      <c r="P618" t="str">
        <f ca="1" t="shared" si="90"/>
        <v>109906 1 0 0 1</v>
      </c>
      <c r="R618">
        <v>1</v>
      </c>
      <c r="S618">
        <v>0</v>
      </c>
      <c r="T618">
        <v>0</v>
      </c>
      <c r="U618">
        <v>0</v>
      </c>
      <c r="V618" t="str">
        <f ca="1" t="shared" si="88"/>
        <v>109906 1 0 0 0</v>
      </c>
    </row>
    <row r="619" spans="3:22">
      <c r="C619">
        <v>13698</v>
      </c>
      <c r="D619">
        <f ca="1" t="shared" si="89"/>
        <v>110021</v>
      </c>
      <c r="E619" cm="1">
        <f ca="1" t="array" ref="E619">INDEX(C:C,MATCH(MIN(ABS(C:C-D619)),ABS(C:C-D619),0))</f>
        <v>110021</v>
      </c>
      <c r="G619">
        <f ca="1" t="shared" si="91"/>
        <v>115</v>
      </c>
      <c r="H619">
        <v>1</v>
      </c>
      <c r="I619">
        <v>4</v>
      </c>
      <c r="J619">
        <v>3</v>
      </c>
      <c r="K619">
        <v>2</v>
      </c>
      <c r="L619" cm="1">
        <f t="array" ref="L619:O619">_xlfn.SORTBY($R$3:$U$3,H619:K619)</f>
        <v>0</v>
      </c>
      <c r="M619">
        <v>1</v>
      </c>
      <c r="N619">
        <v>1</v>
      </c>
      <c r="O619">
        <v>0</v>
      </c>
      <c r="P619" t="str">
        <f ca="1" t="shared" si="90"/>
        <v>110021 0 1 1 0</v>
      </c>
      <c r="R619">
        <v>0</v>
      </c>
      <c r="S619">
        <v>1</v>
      </c>
      <c r="T619">
        <v>0</v>
      </c>
      <c r="U619">
        <v>0</v>
      </c>
      <c r="V619" t="str">
        <f ca="1" t="shared" si="88"/>
        <v>110021 0 1 0 0</v>
      </c>
    </row>
    <row r="620" spans="3:22">
      <c r="C620">
        <v>13721</v>
      </c>
      <c r="D620">
        <f ca="1" t="shared" si="89"/>
        <v>110252</v>
      </c>
      <c r="E620" cm="1">
        <f ca="1" t="array" ref="E620">INDEX(C:C,MATCH(MIN(ABS(C:C-D620)),ABS(C:C-D620),0))</f>
        <v>110252</v>
      </c>
      <c r="G620">
        <f ca="1" t="shared" si="91"/>
        <v>231</v>
      </c>
      <c r="H620">
        <v>3</v>
      </c>
      <c r="I620">
        <v>4</v>
      </c>
      <c r="J620">
        <v>1</v>
      </c>
      <c r="K620">
        <v>2</v>
      </c>
      <c r="L620" cm="1">
        <f t="array" ref="L620:O620">_xlfn.SORTBY($R$3:$U$3,H620:K620)</f>
        <v>1</v>
      </c>
      <c r="M620">
        <v>1</v>
      </c>
      <c r="N620">
        <v>0</v>
      </c>
      <c r="O620">
        <v>0</v>
      </c>
      <c r="P620" t="str">
        <f ca="1" t="shared" si="90"/>
        <v>110252 1 1 0 0</v>
      </c>
      <c r="R620">
        <v>0</v>
      </c>
      <c r="S620">
        <v>1</v>
      </c>
      <c r="T620">
        <v>0</v>
      </c>
      <c r="U620">
        <v>0</v>
      </c>
      <c r="V620" t="str">
        <f ca="1" t="shared" ref="V620:V651" si="92">E620&amp;" "&amp;R620&amp;" "&amp;S620&amp;" "&amp;T620&amp;" "&amp;U620</f>
        <v>110252 0 1 0 0</v>
      </c>
    </row>
    <row r="621" spans="3:22">
      <c r="C621">
        <v>13744</v>
      </c>
      <c r="D621">
        <f ca="1" t="shared" si="89"/>
        <v>110367</v>
      </c>
      <c r="E621" cm="1">
        <f ca="1" t="array" ref="E621">INDEX(C:C,MATCH(MIN(ABS(C:C-D621)),ABS(C:C-D621),0))</f>
        <v>110367</v>
      </c>
      <c r="G621">
        <f ca="1" t="shared" si="91"/>
        <v>115</v>
      </c>
      <c r="H621">
        <v>2</v>
      </c>
      <c r="I621">
        <v>1</v>
      </c>
      <c r="J621">
        <v>4</v>
      </c>
      <c r="K621">
        <v>3</v>
      </c>
      <c r="L621" cm="1">
        <f t="array" ref="L621:O621">_xlfn.SORTBY($R$3:$U$3,H621:K621)</f>
        <v>0</v>
      </c>
      <c r="M621">
        <v>0</v>
      </c>
      <c r="N621">
        <v>1</v>
      </c>
      <c r="O621">
        <v>1</v>
      </c>
      <c r="P621" t="str">
        <f ca="1" t="shared" ref="P621:P652" si="93">E621&amp;" "&amp;L621&amp;" "&amp;M621&amp;" "&amp;N621&amp;" "&amp;O621</f>
        <v>110367 0 0 1 1</v>
      </c>
      <c r="R621">
        <v>0</v>
      </c>
      <c r="S621">
        <v>0</v>
      </c>
      <c r="T621">
        <v>1</v>
      </c>
      <c r="U621">
        <v>0</v>
      </c>
      <c r="V621" t="str">
        <f ca="1" t="shared" si="92"/>
        <v>110367 0 0 1 0</v>
      </c>
    </row>
    <row r="622" spans="3:22">
      <c r="C622">
        <v>13767</v>
      </c>
      <c r="D622">
        <f ca="1" t="shared" si="89"/>
        <v>110598</v>
      </c>
      <c r="E622" cm="1">
        <f ca="1" t="array" ref="E622">INDEX(C:C,MATCH(MIN(ABS(C:C-D622)),ABS(C:C-D622),0))</f>
        <v>110598</v>
      </c>
      <c r="G622">
        <f ca="1" t="shared" si="91"/>
        <v>231</v>
      </c>
      <c r="H622">
        <v>3</v>
      </c>
      <c r="I622">
        <v>2</v>
      </c>
      <c r="J622">
        <v>4</v>
      </c>
      <c r="K622">
        <v>1</v>
      </c>
      <c r="L622" cm="1">
        <f t="array" ref="L622:O622">_xlfn.SORTBY($R$3:$U$3,H622:K622)</f>
        <v>1</v>
      </c>
      <c r="M622">
        <v>0</v>
      </c>
      <c r="N622">
        <v>0</v>
      </c>
      <c r="O622">
        <v>1</v>
      </c>
      <c r="P622" t="str">
        <f ca="1" t="shared" si="93"/>
        <v>110598 1 0 0 1</v>
      </c>
      <c r="R622">
        <v>1</v>
      </c>
      <c r="S622">
        <v>0</v>
      </c>
      <c r="T622">
        <v>0</v>
      </c>
      <c r="U622">
        <v>0</v>
      </c>
      <c r="V622" t="str">
        <f ca="1" t="shared" si="92"/>
        <v>110598 1 0 0 0</v>
      </c>
    </row>
    <row r="623" spans="3:22">
      <c r="C623">
        <v>13790</v>
      </c>
      <c r="D623">
        <f ca="1" t="shared" si="89"/>
        <v>110713</v>
      </c>
      <c r="E623" cm="1">
        <f ca="1" t="array" ref="E623">INDEX(C:C,MATCH(MIN(ABS(C:C-D623)),ABS(C:C-D623),0))</f>
        <v>110713</v>
      </c>
      <c r="G623">
        <f ca="1" t="shared" si="91"/>
        <v>115</v>
      </c>
      <c r="H623">
        <v>1</v>
      </c>
      <c r="I623">
        <v>3</v>
      </c>
      <c r="J623">
        <v>2</v>
      </c>
      <c r="K623">
        <v>4</v>
      </c>
      <c r="L623" cm="1">
        <f t="array" ref="L623:O623">_xlfn.SORTBY($R$3:$U$3,H623:K623)</f>
        <v>0</v>
      </c>
      <c r="M623">
        <v>1</v>
      </c>
      <c r="N623">
        <v>0</v>
      </c>
      <c r="O623">
        <v>1</v>
      </c>
      <c r="P623" t="str">
        <f ca="1" t="shared" si="93"/>
        <v>110713 0 1 0 1</v>
      </c>
      <c r="R623">
        <v>0</v>
      </c>
      <c r="S623">
        <v>0</v>
      </c>
      <c r="T623">
        <v>0</v>
      </c>
      <c r="U623">
        <v>1</v>
      </c>
      <c r="V623" t="str">
        <f ca="1" t="shared" si="92"/>
        <v>110713 0 0 0 1</v>
      </c>
    </row>
    <row r="624" spans="3:22">
      <c r="C624">
        <v>13813</v>
      </c>
      <c r="D624">
        <f ca="1" t="shared" si="89"/>
        <v>110944</v>
      </c>
      <c r="E624" cm="1">
        <f ca="1" t="array" ref="E624">INDEX(C:C,MATCH(MIN(ABS(C:C-D624)),ABS(C:C-D624),0))</f>
        <v>110944</v>
      </c>
      <c r="G624">
        <f ca="1" t="shared" si="91"/>
        <v>231</v>
      </c>
      <c r="H624">
        <v>4</v>
      </c>
      <c r="I624">
        <v>3</v>
      </c>
      <c r="J624">
        <v>2</v>
      </c>
      <c r="K624">
        <v>1</v>
      </c>
      <c r="L624" cm="1">
        <f t="array" ref="L624:O624">_xlfn.SORTBY($R$3:$U$3,H624:K624)</f>
        <v>1</v>
      </c>
      <c r="M624">
        <v>1</v>
      </c>
      <c r="N624">
        <v>0</v>
      </c>
      <c r="O624">
        <v>0</v>
      </c>
      <c r="P624" t="str">
        <f ca="1" t="shared" si="93"/>
        <v>110944 1 1 0 0</v>
      </c>
      <c r="R624">
        <v>1</v>
      </c>
      <c r="S624">
        <v>1</v>
      </c>
      <c r="T624">
        <v>0</v>
      </c>
      <c r="U624">
        <v>0</v>
      </c>
      <c r="V624" t="str">
        <f ca="1" t="shared" si="92"/>
        <v>110944 1 1 0 0</v>
      </c>
    </row>
    <row r="625" spans="3:22">
      <c r="C625">
        <v>13837</v>
      </c>
      <c r="D625">
        <f ca="1" t="shared" si="89"/>
        <v>111174</v>
      </c>
      <c r="E625" cm="1">
        <f ca="1" t="array" ref="E625">INDEX(C:C,MATCH(MIN(ABS(C:C-D625)),ABS(C:C-D625),0))</f>
        <v>111175</v>
      </c>
      <c r="G625">
        <f ca="1" t="shared" si="91"/>
        <v>231</v>
      </c>
      <c r="H625">
        <v>1</v>
      </c>
      <c r="I625">
        <v>2</v>
      </c>
      <c r="J625">
        <v>3</v>
      </c>
      <c r="K625">
        <v>4</v>
      </c>
      <c r="L625" cm="1">
        <f t="array" ref="L625:O625">_xlfn.SORTBY($R$3:$U$3,H625:K625)</f>
        <v>0</v>
      </c>
      <c r="M625">
        <v>0</v>
      </c>
      <c r="N625">
        <v>1</v>
      </c>
      <c r="O625">
        <v>1</v>
      </c>
      <c r="P625" t="str">
        <f ca="1" t="shared" si="93"/>
        <v>111175 0 0 1 1</v>
      </c>
      <c r="R625">
        <v>0</v>
      </c>
      <c r="S625">
        <v>0</v>
      </c>
      <c r="T625">
        <v>0</v>
      </c>
      <c r="U625">
        <v>1</v>
      </c>
      <c r="V625" t="str">
        <f ca="1" t="shared" si="92"/>
        <v>111175 0 0 0 1</v>
      </c>
    </row>
    <row r="626" spans="3:22">
      <c r="C626">
        <v>13860</v>
      </c>
      <c r="D626">
        <f ca="1" t="shared" si="89"/>
        <v>111405</v>
      </c>
      <c r="E626" cm="1">
        <f ca="1" t="array" ref="E626">INDEX(C:C,MATCH(MIN(ABS(C:C-D626)),ABS(C:C-D626),0))</f>
        <v>111406</v>
      </c>
      <c r="G626">
        <f ca="1" t="shared" si="91"/>
        <v>231</v>
      </c>
      <c r="H626">
        <v>4</v>
      </c>
      <c r="I626">
        <v>2</v>
      </c>
      <c r="J626">
        <v>3</v>
      </c>
      <c r="K626">
        <v>1</v>
      </c>
      <c r="L626" cm="1">
        <f t="array" ref="L626:O626">_xlfn.SORTBY($R$3:$U$3,H626:K626)</f>
        <v>1</v>
      </c>
      <c r="M626">
        <v>0</v>
      </c>
      <c r="N626">
        <v>1</v>
      </c>
      <c r="O626">
        <v>0</v>
      </c>
      <c r="P626" t="str">
        <f ca="1" t="shared" si="93"/>
        <v>111406 1 0 1 0</v>
      </c>
      <c r="R626">
        <v>1</v>
      </c>
      <c r="S626">
        <v>0</v>
      </c>
      <c r="T626">
        <v>0</v>
      </c>
      <c r="U626">
        <v>0</v>
      </c>
      <c r="V626" t="str">
        <f ca="1" t="shared" si="92"/>
        <v>111406 1 0 0 0</v>
      </c>
    </row>
    <row r="627" spans="3:22">
      <c r="C627">
        <v>13883</v>
      </c>
      <c r="D627">
        <f ca="1" t="shared" si="89"/>
        <v>111521</v>
      </c>
      <c r="E627" cm="1">
        <f ca="1" t="array" ref="E627">INDEX(C:C,MATCH(MIN(ABS(C:C-D627)),ABS(C:C-D627),0))</f>
        <v>111521</v>
      </c>
      <c r="G627">
        <f ca="1" t="shared" si="91"/>
        <v>115</v>
      </c>
      <c r="H627">
        <v>1</v>
      </c>
      <c r="I627">
        <v>3</v>
      </c>
      <c r="J627">
        <v>2</v>
      </c>
      <c r="K627">
        <v>4</v>
      </c>
      <c r="L627" cm="1">
        <f t="array" ref="L627:O627">_xlfn.SORTBY($R$3:$U$3,H627:K627)</f>
        <v>0</v>
      </c>
      <c r="M627">
        <v>1</v>
      </c>
      <c r="N627">
        <v>0</v>
      </c>
      <c r="O627">
        <v>1</v>
      </c>
      <c r="P627" t="str">
        <f ca="1" t="shared" si="93"/>
        <v>111521 0 1 0 1</v>
      </c>
      <c r="R627">
        <v>0</v>
      </c>
      <c r="S627">
        <v>0</v>
      </c>
      <c r="T627">
        <v>0</v>
      </c>
      <c r="U627">
        <v>1</v>
      </c>
      <c r="V627" t="str">
        <f ca="1" t="shared" si="92"/>
        <v>111521 0 0 0 1</v>
      </c>
    </row>
    <row r="628" spans="3:22">
      <c r="C628">
        <v>13906</v>
      </c>
      <c r="D628">
        <f ca="1" t="shared" si="89"/>
        <v>111751</v>
      </c>
      <c r="E628" cm="1">
        <f ca="1" t="array" ref="E628">INDEX(C:C,MATCH(MIN(ABS(C:C-D628)),ABS(C:C-D628),0))</f>
        <v>111752</v>
      </c>
      <c r="G628">
        <f ca="1" t="shared" si="91"/>
        <v>231</v>
      </c>
      <c r="H628">
        <v>2</v>
      </c>
      <c r="I628">
        <v>3</v>
      </c>
      <c r="J628">
        <v>4</v>
      </c>
      <c r="K628">
        <v>1</v>
      </c>
      <c r="L628" cm="1">
        <f t="array" ref="L628:O628">_xlfn.SORTBY($R$3:$U$3,H628:K628)</f>
        <v>1</v>
      </c>
      <c r="M628">
        <v>0</v>
      </c>
      <c r="N628">
        <v>0</v>
      </c>
      <c r="O628">
        <v>1</v>
      </c>
      <c r="P628" t="str">
        <f ca="1" t="shared" si="93"/>
        <v>111752 1 0 0 1</v>
      </c>
      <c r="R628">
        <v>1</v>
      </c>
      <c r="S628">
        <v>0</v>
      </c>
      <c r="T628">
        <v>0</v>
      </c>
      <c r="U628">
        <v>0</v>
      </c>
      <c r="V628" t="str">
        <f ca="1" t="shared" si="92"/>
        <v>111752 1 0 0 0</v>
      </c>
    </row>
    <row r="629" spans="3:22">
      <c r="C629">
        <v>13929</v>
      </c>
      <c r="D629">
        <f ca="1" t="shared" si="89"/>
        <v>111867</v>
      </c>
      <c r="E629" cm="1">
        <f ca="1" t="array" ref="E629">INDEX(C:C,MATCH(MIN(ABS(C:C-D629)),ABS(C:C-D629),0))</f>
        <v>111867</v>
      </c>
      <c r="G629">
        <f ca="1" t="shared" si="91"/>
        <v>115</v>
      </c>
      <c r="H629">
        <v>1</v>
      </c>
      <c r="I629">
        <v>4</v>
      </c>
      <c r="J629">
        <v>3</v>
      </c>
      <c r="K629">
        <v>2</v>
      </c>
      <c r="L629" cm="1">
        <f t="array" ref="L629:O629">_xlfn.SORTBY($R$3:$U$3,H629:K629)</f>
        <v>0</v>
      </c>
      <c r="M629">
        <v>1</v>
      </c>
      <c r="N629">
        <v>1</v>
      </c>
      <c r="O629">
        <v>0</v>
      </c>
      <c r="P629" t="str">
        <f ca="1" t="shared" si="93"/>
        <v>111867 0 1 1 0</v>
      </c>
      <c r="R629">
        <v>0</v>
      </c>
      <c r="S629">
        <v>1</v>
      </c>
      <c r="T629">
        <v>0</v>
      </c>
      <c r="U629">
        <v>0</v>
      </c>
      <c r="V629" t="str">
        <f ca="1" t="shared" si="92"/>
        <v>111867 0 1 0 0</v>
      </c>
    </row>
    <row r="630" spans="3:22">
      <c r="C630">
        <v>13952</v>
      </c>
      <c r="D630">
        <f ca="1" t="shared" si="89"/>
        <v>112098</v>
      </c>
      <c r="E630" cm="1">
        <f ca="1" t="array" ref="E630">INDEX(C:C,MATCH(MIN(ABS(C:C-D630)),ABS(C:C-D630),0))</f>
        <v>112098</v>
      </c>
      <c r="G630">
        <f ca="1" t="shared" si="91"/>
        <v>231</v>
      </c>
      <c r="H630">
        <v>3</v>
      </c>
      <c r="I630">
        <v>4</v>
      </c>
      <c r="J630">
        <v>1</v>
      </c>
      <c r="K630">
        <v>2</v>
      </c>
      <c r="L630" cm="1">
        <f t="array" ref="L630:O630">_xlfn.SORTBY($R$3:$U$3,H630:K630)</f>
        <v>1</v>
      </c>
      <c r="M630">
        <v>1</v>
      </c>
      <c r="N630">
        <v>0</v>
      </c>
      <c r="O630">
        <v>0</v>
      </c>
      <c r="P630" t="str">
        <f ca="1" t="shared" si="93"/>
        <v>112098 1 1 0 0</v>
      </c>
      <c r="R630">
        <v>0</v>
      </c>
      <c r="S630">
        <v>1</v>
      </c>
      <c r="T630">
        <v>0</v>
      </c>
      <c r="U630">
        <v>0</v>
      </c>
      <c r="V630" t="str">
        <f ca="1" t="shared" si="92"/>
        <v>112098 0 1 0 0</v>
      </c>
    </row>
    <row r="631" spans="3:22">
      <c r="C631">
        <v>13975</v>
      </c>
      <c r="D631">
        <f ca="1" t="shared" si="89"/>
        <v>112213</v>
      </c>
      <c r="E631" cm="1">
        <f ca="1" t="array" ref="E631">INDEX(C:C,MATCH(MIN(ABS(C:C-D631)),ABS(C:C-D631),0))</f>
        <v>112213</v>
      </c>
      <c r="G631">
        <f ca="1" t="shared" si="91"/>
        <v>115</v>
      </c>
      <c r="H631">
        <v>2</v>
      </c>
      <c r="I631">
        <v>1</v>
      </c>
      <c r="J631">
        <v>4</v>
      </c>
      <c r="K631">
        <v>3</v>
      </c>
      <c r="L631" cm="1">
        <f t="array" ref="L631:O631">_xlfn.SORTBY($R$3:$U$3,H631:K631)</f>
        <v>0</v>
      </c>
      <c r="M631">
        <v>0</v>
      </c>
      <c r="N631">
        <v>1</v>
      </c>
      <c r="O631">
        <v>1</v>
      </c>
      <c r="P631" t="str">
        <f ca="1" t="shared" si="93"/>
        <v>112213 0 0 1 1</v>
      </c>
      <c r="R631">
        <v>0</v>
      </c>
      <c r="S631">
        <v>0</v>
      </c>
      <c r="T631">
        <v>1</v>
      </c>
      <c r="U631">
        <v>0</v>
      </c>
      <c r="V631" t="str">
        <f ca="1" t="shared" si="92"/>
        <v>112213 0 0 1 0</v>
      </c>
    </row>
    <row r="632" spans="3:22">
      <c r="C632">
        <v>13998</v>
      </c>
      <c r="D632">
        <f ca="1" t="shared" si="89"/>
        <v>112444</v>
      </c>
      <c r="E632" cm="1">
        <f ca="1" t="array" ref="E632">INDEX(C:C,MATCH(MIN(ABS(C:C-D632)),ABS(C:C-D632),0))</f>
        <v>112444</v>
      </c>
      <c r="G632">
        <f ca="1" t="shared" si="91"/>
        <v>231</v>
      </c>
      <c r="H632">
        <v>3</v>
      </c>
      <c r="I632">
        <v>2</v>
      </c>
      <c r="J632">
        <v>4</v>
      </c>
      <c r="K632">
        <v>1</v>
      </c>
      <c r="L632" cm="1">
        <f t="array" ref="L632:O632">_xlfn.SORTBY($R$3:$U$3,H632:K632)</f>
        <v>1</v>
      </c>
      <c r="M632">
        <v>0</v>
      </c>
      <c r="N632">
        <v>0</v>
      </c>
      <c r="O632">
        <v>1</v>
      </c>
      <c r="P632" t="str">
        <f ca="1" t="shared" si="93"/>
        <v>112444 1 0 0 1</v>
      </c>
      <c r="R632">
        <v>1</v>
      </c>
      <c r="S632">
        <v>0</v>
      </c>
      <c r="T632">
        <v>0</v>
      </c>
      <c r="U632">
        <v>0</v>
      </c>
      <c r="V632" t="str">
        <f ca="1" t="shared" si="92"/>
        <v>112444 1 0 0 0</v>
      </c>
    </row>
    <row r="633" spans="3:22">
      <c r="C633">
        <v>14021</v>
      </c>
      <c r="D633">
        <f ca="1" t="shared" si="89"/>
        <v>112559</v>
      </c>
      <c r="E633" cm="1">
        <f ca="1" t="array" ref="E633">INDEX(C:C,MATCH(MIN(ABS(C:C-D633)),ABS(C:C-D633),0))</f>
        <v>112560</v>
      </c>
      <c r="G633">
        <f ca="1" t="shared" si="91"/>
        <v>116</v>
      </c>
      <c r="H633">
        <v>1</v>
      </c>
      <c r="I633">
        <v>3</v>
      </c>
      <c r="J633">
        <v>2</v>
      </c>
      <c r="K633">
        <v>4</v>
      </c>
      <c r="L633" cm="1">
        <f t="array" ref="L633:O633">_xlfn.SORTBY($R$3:$U$3,H633:K633)</f>
        <v>0</v>
      </c>
      <c r="M633">
        <v>1</v>
      </c>
      <c r="N633">
        <v>0</v>
      </c>
      <c r="O633">
        <v>1</v>
      </c>
      <c r="P633" t="str">
        <f ca="1" t="shared" si="93"/>
        <v>112560 0 1 0 1</v>
      </c>
      <c r="R633">
        <v>0</v>
      </c>
      <c r="S633">
        <v>0</v>
      </c>
      <c r="T633">
        <v>0</v>
      </c>
      <c r="U633">
        <v>1</v>
      </c>
      <c r="V633" t="str">
        <f ca="1" t="shared" si="92"/>
        <v>112560 0 0 0 1</v>
      </c>
    </row>
    <row r="634" spans="3:22">
      <c r="C634">
        <v>14044</v>
      </c>
      <c r="D634">
        <f ca="1" t="shared" si="89"/>
        <v>112790</v>
      </c>
      <c r="E634" cm="1">
        <f ca="1" t="array" ref="E634">INDEX(C:C,MATCH(MIN(ABS(C:C-D634)),ABS(C:C-D634),0))</f>
        <v>112790</v>
      </c>
      <c r="G634">
        <f ca="1" t="shared" si="91"/>
        <v>230</v>
      </c>
      <c r="H634">
        <v>1</v>
      </c>
      <c r="I634">
        <v>2</v>
      </c>
      <c r="J634">
        <v>3</v>
      </c>
      <c r="K634">
        <v>4</v>
      </c>
      <c r="L634" cm="1">
        <f t="array" ref="L634:O634">_xlfn.SORTBY($R$3:$U$3,H634:K634)</f>
        <v>0</v>
      </c>
      <c r="M634">
        <v>0</v>
      </c>
      <c r="N634">
        <v>1</v>
      </c>
      <c r="O634">
        <v>1</v>
      </c>
      <c r="P634" t="str">
        <f ca="1" t="shared" si="93"/>
        <v>112790 0 0 1 1</v>
      </c>
      <c r="R634">
        <v>0</v>
      </c>
      <c r="S634">
        <v>0</v>
      </c>
      <c r="T634">
        <v>1</v>
      </c>
      <c r="U634">
        <v>1</v>
      </c>
      <c r="V634" t="str">
        <f ca="1" t="shared" si="92"/>
        <v>112790 0 0 1 1</v>
      </c>
    </row>
    <row r="635" spans="3:22">
      <c r="C635">
        <v>14067</v>
      </c>
      <c r="D635">
        <f ca="1" t="shared" si="89"/>
        <v>113021</v>
      </c>
      <c r="E635" cm="1">
        <f ca="1" t="array" ref="E635">INDEX(C:C,MATCH(MIN(ABS(C:C-D635)),ABS(C:C-D635),0))</f>
        <v>113021</v>
      </c>
      <c r="G635">
        <f ca="1" t="shared" si="91"/>
        <v>231</v>
      </c>
      <c r="H635">
        <v>4</v>
      </c>
      <c r="I635">
        <v>3</v>
      </c>
      <c r="J635">
        <v>2</v>
      </c>
      <c r="K635">
        <v>1</v>
      </c>
      <c r="L635" cm="1">
        <f t="array" ref="L635:O635">_xlfn.SORTBY($R$3:$U$3,H635:K635)</f>
        <v>1</v>
      </c>
      <c r="M635">
        <v>1</v>
      </c>
      <c r="N635">
        <v>0</v>
      </c>
      <c r="O635">
        <v>0</v>
      </c>
      <c r="P635" t="str">
        <f ca="1" t="shared" si="93"/>
        <v>113021 1 1 0 0</v>
      </c>
      <c r="R635">
        <v>1</v>
      </c>
      <c r="S635">
        <v>0</v>
      </c>
      <c r="T635">
        <v>0</v>
      </c>
      <c r="U635">
        <v>0</v>
      </c>
      <c r="V635" t="str">
        <f ca="1" t="shared" si="92"/>
        <v>113021 1 0 0 0</v>
      </c>
    </row>
    <row r="636" spans="3:22">
      <c r="C636">
        <v>14090</v>
      </c>
      <c r="D636">
        <f ca="1" t="shared" si="89"/>
        <v>113252</v>
      </c>
      <c r="E636" cm="1">
        <f ca="1" t="array" ref="E636">INDEX(C:C,MATCH(MIN(ABS(C:C-D636)),ABS(C:C-D636),0))</f>
        <v>113252</v>
      </c>
      <c r="G636">
        <f ca="1" t="shared" si="91"/>
        <v>231</v>
      </c>
      <c r="H636">
        <v>1</v>
      </c>
      <c r="I636">
        <v>3</v>
      </c>
      <c r="J636">
        <v>2</v>
      </c>
      <c r="K636">
        <v>4</v>
      </c>
      <c r="L636" cm="1">
        <f t="array" ref="L636:O636">_xlfn.SORTBY($R$3:$U$3,H636:K636)</f>
        <v>0</v>
      </c>
      <c r="M636">
        <v>1</v>
      </c>
      <c r="N636">
        <v>0</v>
      </c>
      <c r="O636">
        <v>1</v>
      </c>
      <c r="P636" t="str">
        <f ca="1" t="shared" si="93"/>
        <v>113252 0 1 0 1</v>
      </c>
      <c r="R636">
        <v>0</v>
      </c>
      <c r="S636">
        <v>0</v>
      </c>
      <c r="T636">
        <v>0</v>
      </c>
      <c r="U636">
        <v>1</v>
      </c>
      <c r="V636" t="str">
        <f ca="1" t="shared" si="92"/>
        <v>113252 0 0 0 1</v>
      </c>
    </row>
    <row r="637" spans="3:22">
      <c r="C637">
        <v>14113</v>
      </c>
      <c r="D637">
        <f ca="1" t="shared" si="89"/>
        <v>113367</v>
      </c>
      <c r="E637" cm="1">
        <f ca="1" t="array" ref="E637">INDEX(C:C,MATCH(MIN(ABS(C:C-D637)),ABS(C:C-D637),0))</f>
        <v>113367</v>
      </c>
      <c r="G637">
        <f ca="1" t="shared" si="91"/>
        <v>115</v>
      </c>
      <c r="H637">
        <v>4</v>
      </c>
      <c r="I637">
        <v>2</v>
      </c>
      <c r="J637">
        <v>3</v>
      </c>
      <c r="K637">
        <v>1</v>
      </c>
      <c r="L637" cm="1">
        <f t="array" ref="L637:O637">_xlfn.SORTBY($R$3:$U$3,H637:K637)</f>
        <v>1</v>
      </c>
      <c r="M637">
        <v>0</v>
      </c>
      <c r="N637">
        <v>1</v>
      </c>
      <c r="O637">
        <v>0</v>
      </c>
      <c r="P637" t="str">
        <f ca="1" t="shared" si="93"/>
        <v>113367 1 0 1 0</v>
      </c>
      <c r="R637">
        <v>1</v>
      </c>
      <c r="S637">
        <v>0</v>
      </c>
      <c r="T637">
        <v>0</v>
      </c>
      <c r="U637">
        <v>0</v>
      </c>
      <c r="V637" t="str">
        <f ca="1" t="shared" si="92"/>
        <v>113367 1 0 0 0</v>
      </c>
    </row>
    <row r="638" spans="3:22">
      <c r="C638">
        <v>14137</v>
      </c>
      <c r="D638">
        <f ca="1" t="shared" si="89"/>
        <v>113598</v>
      </c>
      <c r="E638" cm="1">
        <f ca="1" t="array" ref="E638">INDEX(C:C,MATCH(MIN(ABS(C:C-D638)),ABS(C:C-D638),0))</f>
        <v>113598</v>
      </c>
      <c r="G638">
        <f ca="1" t="shared" si="91"/>
        <v>231</v>
      </c>
      <c r="H638">
        <v>1</v>
      </c>
      <c r="I638">
        <v>4</v>
      </c>
      <c r="J638">
        <v>3</v>
      </c>
      <c r="K638">
        <v>2</v>
      </c>
      <c r="L638" cm="1">
        <f t="array" ref="L638:O638">_xlfn.SORTBY($R$3:$U$3,H638:K638)</f>
        <v>0</v>
      </c>
      <c r="M638">
        <v>1</v>
      </c>
      <c r="N638">
        <v>1</v>
      </c>
      <c r="O638">
        <v>0</v>
      </c>
      <c r="P638" t="str">
        <f ca="1" t="shared" si="93"/>
        <v>113598 0 1 1 0</v>
      </c>
      <c r="R638">
        <v>0</v>
      </c>
      <c r="S638">
        <v>1</v>
      </c>
      <c r="T638">
        <v>0</v>
      </c>
      <c r="U638">
        <v>0</v>
      </c>
      <c r="V638" t="str">
        <f ca="1" t="shared" si="92"/>
        <v>113598 0 1 0 0</v>
      </c>
    </row>
    <row r="639" spans="3:22">
      <c r="C639">
        <v>14160</v>
      </c>
      <c r="D639">
        <f ca="1" t="shared" si="89"/>
        <v>113713</v>
      </c>
      <c r="E639" cm="1">
        <f ca="1" t="array" ref="E639">INDEX(C:C,MATCH(MIN(ABS(C:C-D639)),ABS(C:C-D639),0))</f>
        <v>113713</v>
      </c>
      <c r="G639">
        <f ca="1" t="shared" si="91"/>
        <v>115</v>
      </c>
      <c r="H639">
        <v>2</v>
      </c>
      <c r="I639">
        <v>3</v>
      </c>
      <c r="J639">
        <v>4</v>
      </c>
      <c r="K639">
        <v>1</v>
      </c>
      <c r="L639" cm="1">
        <f t="array" ref="L639:O639">_xlfn.SORTBY($R$3:$U$3,H639:K639)</f>
        <v>1</v>
      </c>
      <c r="M639">
        <v>0</v>
      </c>
      <c r="N639">
        <v>0</v>
      </c>
      <c r="O639">
        <v>1</v>
      </c>
      <c r="P639" t="str">
        <f ca="1" t="shared" si="93"/>
        <v>113713 1 0 0 1</v>
      </c>
      <c r="R639">
        <v>1</v>
      </c>
      <c r="S639">
        <v>0</v>
      </c>
      <c r="T639">
        <v>0</v>
      </c>
      <c r="U639">
        <v>0</v>
      </c>
      <c r="V639" t="str">
        <f ca="1" t="shared" si="92"/>
        <v>113713 1 0 0 0</v>
      </c>
    </row>
    <row r="640" spans="3:22">
      <c r="C640">
        <v>14183</v>
      </c>
      <c r="D640">
        <f ca="1" t="shared" si="89"/>
        <v>113944</v>
      </c>
      <c r="E640" cm="1">
        <f ca="1" t="array" ref="E640">INDEX(C:C,MATCH(MIN(ABS(C:C-D640)),ABS(C:C-D640),0))</f>
        <v>113944</v>
      </c>
      <c r="G640">
        <f ca="1" t="shared" si="91"/>
        <v>231</v>
      </c>
      <c r="H640">
        <v>2</v>
      </c>
      <c r="I640">
        <v>1</v>
      </c>
      <c r="J640">
        <v>4</v>
      </c>
      <c r="K640">
        <v>3</v>
      </c>
      <c r="L640" cm="1">
        <f t="array" ref="L640:O640">_xlfn.SORTBY($R$3:$U$3,H640:K640)</f>
        <v>0</v>
      </c>
      <c r="M640">
        <v>0</v>
      </c>
      <c r="N640">
        <v>1</v>
      </c>
      <c r="O640">
        <v>1</v>
      </c>
      <c r="P640" t="str">
        <f ca="1" t="shared" si="93"/>
        <v>113944 0 0 1 1</v>
      </c>
      <c r="R640">
        <v>0</v>
      </c>
      <c r="S640">
        <v>0</v>
      </c>
      <c r="T640">
        <v>1</v>
      </c>
      <c r="U640">
        <v>0</v>
      </c>
      <c r="V640" t="str">
        <f ca="1" t="shared" si="92"/>
        <v>113944 0 0 1 0</v>
      </c>
    </row>
    <row r="641" spans="3:22">
      <c r="C641">
        <v>14206</v>
      </c>
      <c r="D641">
        <f ca="1" t="shared" si="89"/>
        <v>114059</v>
      </c>
      <c r="E641" cm="1">
        <f ca="1" t="array" ref="E641">INDEX(C:C,MATCH(MIN(ABS(C:C-D641)),ABS(C:C-D641),0))</f>
        <v>114060</v>
      </c>
      <c r="G641">
        <f ca="1" t="shared" si="91"/>
        <v>116</v>
      </c>
      <c r="H641">
        <v>3</v>
      </c>
      <c r="I641">
        <v>4</v>
      </c>
      <c r="J641">
        <v>1</v>
      </c>
      <c r="K641">
        <v>2</v>
      </c>
      <c r="L641" cm="1">
        <f t="array" ref="L641:O641">_xlfn.SORTBY($R$3:$U$3,H641:K641)</f>
        <v>1</v>
      </c>
      <c r="M641">
        <v>1</v>
      </c>
      <c r="N641">
        <v>0</v>
      </c>
      <c r="O641">
        <v>0</v>
      </c>
      <c r="P641" t="str">
        <f ca="1" t="shared" si="93"/>
        <v>114060 1 1 0 0</v>
      </c>
      <c r="R641">
        <v>0</v>
      </c>
      <c r="S641">
        <v>1</v>
      </c>
      <c r="T641">
        <v>0</v>
      </c>
      <c r="U641">
        <v>0</v>
      </c>
      <c r="V641" t="str">
        <f ca="1" t="shared" si="92"/>
        <v>114060 0 1 0 0</v>
      </c>
    </row>
    <row r="642" spans="3:22">
      <c r="C642">
        <v>14229</v>
      </c>
      <c r="D642">
        <f ca="1" t="shared" si="89"/>
        <v>114290</v>
      </c>
      <c r="E642" cm="1">
        <f ca="1" t="array" ref="E642">INDEX(C:C,MATCH(MIN(ABS(C:C-D642)),ABS(C:C-D642),0))</f>
        <v>114290</v>
      </c>
      <c r="G642">
        <f ca="1" t="shared" si="91"/>
        <v>230</v>
      </c>
      <c r="H642">
        <v>1</v>
      </c>
      <c r="I642">
        <v>3</v>
      </c>
      <c r="J642">
        <v>2</v>
      </c>
      <c r="K642">
        <v>4</v>
      </c>
      <c r="L642" cm="1">
        <f t="array" ref="L642:O642">_xlfn.SORTBY($R$3:$U$3,H642:K642)</f>
        <v>0</v>
      </c>
      <c r="M642">
        <v>1</v>
      </c>
      <c r="N642">
        <v>0</v>
      </c>
      <c r="O642">
        <v>1</v>
      </c>
      <c r="P642" t="str">
        <f ca="1" t="shared" si="93"/>
        <v>114290 0 1 0 1</v>
      </c>
      <c r="R642">
        <v>0</v>
      </c>
      <c r="S642">
        <v>0</v>
      </c>
      <c r="T642">
        <v>0</v>
      </c>
      <c r="U642">
        <v>1</v>
      </c>
      <c r="V642" t="str">
        <f ca="1" t="shared" si="92"/>
        <v>114290 0 0 0 1</v>
      </c>
    </row>
    <row r="643" spans="3:22">
      <c r="C643">
        <v>14252</v>
      </c>
      <c r="D643">
        <f ca="1" t="shared" si="89"/>
        <v>114405</v>
      </c>
      <c r="E643" cm="1">
        <f ca="1" t="array" ref="E643">INDEX(C:C,MATCH(MIN(ABS(C:C-D643)),ABS(C:C-D643),0))</f>
        <v>114406</v>
      </c>
      <c r="G643">
        <f ca="1" t="shared" si="91"/>
        <v>116</v>
      </c>
      <c r="H643">
        <v>3</v>
      </c>
      <c r="I643">
        <v>2</v>
      </c>
      <c r="J643">
        <v>4</v>
      </c>
      <c r="K643">
        <v>1</v>
      </c>
      <c r="L643" cm="1">
        <f t="array" ref="L643:O643">_xlfn.SORTBY($R$3:$U$3,H643:K643)</f>
        <v>1</v>
      </c>
      <c r="M643">
        <v>0</v>
      </c>
      <c r="N643">
        <v>0</v>
      </c>
      <c r="O643">
        <v>1</v>
      </c>
      <c r="P643" t="str">
        <f ca="1" t="shared" si="93"/>
        <v>114406 1 0 0 1</v>
      </c>
      <c r="R643">
        <v>1</v>
      </c>
      <c r="S643">
        <v>0</v>
      </c>
      <c r="T643">
        <v>0</v>
      </c>
      <c r="U643">
        <v>0</v>
      </c>
      <c r="V643" t="str">
        <f ca="1" t="shared" si="92"/>
        <v>114406 1 0 0 0</v>
      </c>
    </row>
    <row r="644" spans="3:22">
      <c r="C644">
        <v>14275</v>
      </c>
      <c r="D644">
        <f ca="1" t="shared" si="89"/>
        <v>114636</v>
      </c>
      <c r="E644" cm="1">
        <f ca="1" t="array" ref="E644">INDEX(C:C,MATCH(MIN(ABS(C:C-D644)),ABS(C:C-D644),0))</f>
        <v>114637</v>
      </c>
      <c r="G644">
        <f ca="1" t="shared" si="91"/>
        <v>231</v>
      </c>
      <c r="H644">
        <v>1</v>
      </c>
      <c r="I644">
        <v>2</v>
      </c>
      <c r="J644">
        <v>3</v>
      </c>
      <c r="K644">
        <v>4</v>
      </c>
      <c r="L644" cm="1">
        <f t="array" ref="L644:O644">_xlfn.SORTBY($R$3:$U$3,H644:K644)</f>
        <v>0</v>
      </c>
      <c r="M644">
        <v>0</v>
      </c>
      <c r="N644">
        <v>1</v>
      </c>
      <c r="O644">
        <v>1</v>
      </c>
      <c r="P644" t="str">
        <f ca="1" t="shared" si="93"/>
        <v>114637 0 0 1 1</v>
      </c>
      <c r="R644">
        <v>0</v>
      </c>
      <c r="S644">
        <v>0</v>
      </c>
      <c r="T644">
        <v>1</v>
      </c>
      <c r="U644">
        <v>1</v>
      </c>
      <c r="V644" t="str">
        <f ca="1" t="shared" si="92"/>
        <v>114637 0 0 1 1</v>
      </c>
    </row>
    <row r="645" spans="3:22">
      <c r="C645">
        <v>14298</v>
      </c>
      <c r="D645">
        <f ca="1" t="shared" si="89"/>
        <v>114866</v>
      </c>
      <c r="E645" cm="1">
        <f ca="1" t="array" ref="E645">INDEX(C:C,MATCH(MIN(ABS(C:C-D645)),ABS(C:C-D645),0))</f>
        <v>114867</v>
      </c>
      <c r="G645">
        <f ca="1" t="shared" si="91"/>
        <v>230</v>
      </c>
      <c r="H645">
        <v>4</v>
      </c>
      <c r="I645">
        <v>3</v>
      </c>
      <c r="J645">
        <v>2</v>
      </c>
      <c r="K645">
        <v>1</v>
      </c>
      <c r="L645" cm="1">
        <f t="array" ref="L645:O645">_xlfn.SORTBY($R$3:$U$3,H645:K645)</f>
        <v>1</v>
      </c>
      <c r="M645">
        <v>1</v>
      </c>
      <c r="N645">
        <v>0</v>
      </c>
      <c r="O645">
        <v>0</v>
      </c>
      <c r="P645" t="str">
        <f ca="1" t="shared" si="93"/>
        <v>114867 1 1 0 0</v>
      </c>
      <c r="R645">
        <v>1</v>
      </c>
      <c r="S645">
        <v>0</v>
      </c>
      <c r="T645">
        <v>0</v>
      </c>
      <c r="U645">
        <v>0</v>
      </c>
      <c r="V645" t="str">
        <f ca="1" t="shared" si="92"/>
        <v>114867 1 0 0 0</v>
      </c>
    </row>
    <row r="646" spans="3:22">
      <c r="C646">
        <v>14321</v>
      </c>
      <c r="D646">
        <f ca="1" t="shared" si="89"/>
        <v>115097</v>
      </c>
      <c r="E646" cm="1">
        <f ca="1" t="array" ref="E646">INDEX(C:C,MATCH(MIN(ABS(C:C-D646)),ABS(C:C-D646),0))</f>
        <v>115098</v>
      </c>
      <c r="G646">
        <f ca="1" t="shared" si="91"/>
        <v>231</v>
      </c>
      <c r="H646">
        <v>1</v>
      </c>
      <c r="I646">
        <v>3</v>
      </c>
      <c r="J646">
        <v>2</v>
      </c>
      <c r="K646">
        <v>4</v>
      </c>
      <c r="L646" cm="1">
        <f t="array" ref="L646:O646">_xlfn.SORTBY($R$3:$U$3,H646:K646)</f>
        <v>0</v>
      </c>
      <c r="M646">
        <v>1</v>
      </c>
      <c r="N646">
        <v>0</v>
      </c>
      <c r="O646">
        <v>1</v>
      </c>
      <c r="P646" t="str">
        <f ca="1" t="shared" si="93"/>
        <v>115098 0 1 0 1</v>
      </c>
      <c r="R646">
        <v>0</v>
      </c>
      <c r="S646">
        <v>0</v>
      </c>
      <c r="T646">
        <v>0</v>
      </c>
      <c r="U646">
        <v>1</v>
      </c>
      <c r="V646" t="str">
        <f ca="1" t="shared" si="92"/>
        <v>115098 0 0 0 1</v>
      </c>
    </row>
    <row r="647" spans="3:22">
      <c r="C647">
        <v>14344</v>
      </c>
      <c r="D647">
        <f ca="1" t="shared" si="89"/>
        <v>115213</v>
      </c>
      <c r="E647" cm="1">
        <f ca="1" t="array" ref="E647">INDEX(C:C,MATCH(MIN(ABS(C:C-D647)),ABS(C:C-D647),0))</f>
        <v>115213</v>
      </c>
      <c r="G647">
        <f ca="1" t="shared" si="91"/>
        <v>115</v>
      </c>
      <c r="H647">
        <v>4</v>
      </c>
      <c r="I647">
        <v>2</v>
      </c>
      <c r="J647">
        <v>3</v>
      </c>
      <c r="K647">
        <v>1</v>
      </c>
      <c r="L647" cm="1">
        <f t="array" ref="L647:O647">_xlfn.SORTBY($R$3:$U$3,H647:K647)</f>
        <v>1</v>
      </c>
      <c r="M647">
        <v>0</v>
      </c>
      <c r="N647">
        <v>1</v>
      </c>
      <c r="O647">
        <v>0</v>
      </c>
      <c r="P647" t="str">
        <f ca="1" t="shared" si="93"/>
        <v>115213 1 0 1 0</v>
      </c>
      <c r="R647">
        <v>1</v>
      </c>
      <c r="S647">
        <v>0</v>
      </c>
      <c r="T647">
        <v>0</v>
      </c>
      <c r="U647">
        <v>0</v>
      </c>
      <c r="V647" t="str">
        <f ca="1" t="shared" si="92"/>
        <v>115213 1 0 0 0</v>
      </c>
    </row>
    <row r="648" spans="3:22">
      <c r="C648">
        <v>14367</v>
      </c>
      <c r="D648">
        <f ca="1" t="shared" si="89"/>
        <v>115443</v>
      </c>
      <c r="E648" cm="1">
        <f ca="1" t="array" ref="E648">INDEX(C:C,MATCH(MIN(ABS(C:C-D648)),ABS(C:C-D648),0))</f>
        <v>115444</v>
      </c>
      <c r="G648">
        <f ca="1" t="shared" si="91"/>
        <v>231</v>
      </c>
      <c r="H648">
        <v>1</v>
      </c>
      <c r="I648">
        <v>4</v>
      </c>
      <c r="J648">
        <v>3</v>
      </c>
      <c r="K648">
        <v>2</v>
      </c>
      <c r="L648" cm="1">
        <f t="array" ref="L648:O648">_xlfn.SORTBY($R$3:$U$3,H648:K648)</f>
        <v>0</v>
      </c>
      <c r="M648">
        <v>1</v>
      </c>
      <c r="N648">
        <v>1</v>
      </c>
      <c r="O648">
        <v>0</v>
      </c>
      <c r="P648" t="str">
        <f ca="1" t="shared" si="93"/>
        <v>115444 0 1 1 0</v>
      </c>
      <c r="R648">
        <v>0</v>
      </c>
      <c r="S648">
        <v>1</v>
      </c>
      <c r="T648">
        <v>0</v>
      </c>
      <c r="U648">
        <v>0</v>
      </c>
      <c r="V648" t="str">
        <f ca="1" t="shared" si="92"/>
        <v>115444 0 1 0 0</v>
      </c>
    </row>
    <row r="649" spans="3:22">
      <c r="C649">
        <v>14390</v>
      </c>
      <c r="D649">
        <f ca="1" t="shared" si="89"/>
        <v>115559</v>
      </c>
      <c r="E649" cm="1">
        <f ca="1" t="array" ref="E649">INDEX(C:C,MATCH(MIN(ABS(C:C-D649)),ABS(C:C-D649),0))</f>
        <v>115560</v>
      </c>
      <c r="G649">
        <f ca="1" t="shared" si="91"/>
        <v>116</v>
      </c>
      <c r="H649">
        <v>2</v>
      </c>
      <c r="I649">
        <v>3</v>
      </c>
      <c r="J649">
        <v>4</v>
      </c>
      <c r="K649">
        <v>1</v>
      </c>
      <c r="L649" cm="1">
        <f t="array" ref="L649:O649">_xlfn.SORTBY($R$3:$U$3,H649:K649)</f>
        <v>1</v>
      </c>
      <c r="M649">
        <v>0</v>
      </c>
      <c r="N649">
        <v>0</v>
      </c>
      <c r="O649">
        <v>1</v>
      </c>
      <c r="P649" t="str">
        <f ca="1" t="shared" si="93"/>
        <v>115560 1 0 0 1</v>
      </c>
      <c r="R649">
        <v>1</v>
      </c>
      <c r="S649">
        <v>0</v>
      </c>
      <c r="T649">
        <v>0</v>
      </c>
      <c r="U649">
        <v>0</v>
      </c>
      <c r="V649" t="str">
        <f ca="1" t="shared" si="92"/>
        <v>115560 1 0 0 0</v>
      </c>
    </row>
    <row r="650" spans="3:22">
      <c r="C650">
        <v>14413</v>
      </c>
      <c r="D650">
        <f ca="1" t="shared" si="89"/>
        <v>115790</v>
      </c>
      <c r="E650" cm="1">
        <f ca="1" t="array" ref="E650">INDEX(C:C,MATCH(MIN(ABS(C:C-D650)),ABS(C:C-D650),0))</f>
        <v>115790</v>
      </c>
      <c r="G650">
        <f ca="1" t="shared" si="91"/>
        <v>230</v>
      </c>
      <c r="H650">
        <v>2</v>
      </c>
      <c r="I650">
        <v>1</v>
      </c>
      <c r="J650">
        <v>4</v>
      </c>
      <c r="K650">
        <v>3</v>
      </c>
      <c r="L650" cm="1">
        <f t="array" ref="L650:O650">_xlfn.SORTBY($R$3:$U$3,H650:K650)</f>
        <v>0</v>
      </c>
      <c r="M650">
        <v>0</v>
      </c>
      <c r="N650">
        <v>1</v>
      </c>
      <c r="O650">
        <v>1</v>
      </c>
      <c r="P650" t="str">
        <f ca="1" t="shared" si="93"/>
        <v>115790 0 0 1 1</v>
      </c>
      <c r="R650">
        <v>0</v>
      </c>
      <c r="S650">
        <v>0</v>
      </c>
      <c r="T650">
        <v>1</v>
      </c>
      <c r="U650">
        <v>0</v>
      </c>
      <c r="V650" t="str">
        <f ca="1" t="shared" si="92"/>
        <v>115790 0 0 1 0</v>
      </c>
    </row>
    <row r="651" spans="3:22">
      <c r="C651">
        <v>14437</v>
      </c>
      <c r="D651">
        <f ca="1" t="shared" si="89"/>
        <v>115905</v>
      </c>
      <c r="E651" cm="1">
        <f ca="1" t="array" ref="E651">INDEX(C:C,MATCH(MIN(ABS(C:C-D651)),ABS(C:C-D651),0))</f>
        <v>115906</v>
      </c>
      <c r="G651">
        <f ca="1" t="shared" si="91"/>
        <v>116</v>
      </c>
      <c r="H651">
        <v>3</v>
      </c>
      <c r="I651">
        <v>4</v>
      </c>
      <c r="J651">
        <v>1</v>
      </c>
      <c r="K651">
        <v>2</v>
      </c>
      <c r="L651" cm="1">
        <f t="array" ref="L651:O651">_xlfn.SORTBY($R$3:$U$3,H651:K651)</f>
        <v>1</v>
      </c>
      <c r="M651">
        <v>1</v>
      </c>
      <c r="N651">
        <v>0</v>
      </c>
      <c r="O651">
        <v>0</v>
      </c>
      <c r="P651" t="str">
        <f ca="1" t="shared" si="93"/>
        <v>115906 1 1 0 0</v>
      </c>
      <c r="R651">
        <v>0</v>
      </c>
      <c r="S651">
        <v>1</v>
      </c>
      <c r="T651">
        <v>0</v>
      </c>
      <c r="U651">
        <v>0</v>
      </c>
      <c r="V651" t="str">
        <f ca="1" t="shared" si="92"/>
        <v>115906 0 1 0 0</v>
      </c>
    </row>
    <row r="652" spans="3:22">
      <c r="C652">
        <v>14460</v>
      </c>
      <c r="D652">
        <f ca="1" t="shared" si="89"/>
        <v>116136</v>
      </c>
      <c r="E652" cm="1">
        <f ca="1" t="array" ref="E652">INDEX(C:C,MATCH(MIN(ABS(C:C-D652)),ABS(C:C-D652),0))</f>
        <v>116137</v>
      </c>
      <c r="G652">
        <f ca="1" t="shared" si="91"/>
        <v>231</v>
      </c>
      <c r="H652">
        <v>1</v>
      </c>
      <c r="I652">
        <v>3</v>
      </c>
      <c r="J652">
        <v>2</v>
      </c>
      <c r="K652">
        <v>4</v>
      </c>
      <c r="L652" cm="1">
        <f t="array" ref="L652:O652">_xlfn.SORTBY($R$3:$U$3,H652:K652)</f>
        <v>0</v>
      </c>
      <c r="M652">
        <v>1</v>
      </c>
      <c r="N652">
        <v>0</v>
      </c>
      <c r="O652">
        <v>1</v>
      </c>
      <c r="P652" t="str">
        <f ca="1" t="shared" si="93"/>
        <v>116137 0 1 0 1</v>
      </c>
      <c r="R652">
        <v>0</v>
      </c>
      <c r="S652">
        <v>0</v>
      </c>
      <c r="T652">
        <v>0</v>
      </c>
      <c r="U652">
        <v>1</v>
      </c>
      <c r="V652" t="str">
        <f ca="1" t="shared" ref="V652:V683" si="94">E652&amp;" "&amp;R652&amp;" "&amp;S652&amp;" "&amp;T652&amp;" "&amp;U652</f>
        <v>116137 0 0 0 1</v>
      </c>
    </row>
    <row r="653" spans="3:22">
      <c r="C653">
        <v>14483</v>
      </c>
      <c r="D653">
        <f ca="1" t="shared" ref="D653:D683" si="95">ROUND(D130+6000/26*400,0)</f>
        <v>116251</v>
      </c>
      <c r="E653" cm="1">
        <f ca="1" t="array" ref="E653">INDEX(C:C,MATCH(MIN(ABS(C:C-D653)),ABS(C:C-D653),0))</f>
        <v>116252</v>
      </c>
      <c r="G653">
        <f ca="1" t="shared" si="91"/>
        <v>115</v>
      </c>
      <c r="H653">
        <v>3</v>
      </c>
      <c r="I653">
        <v>2</v>
      </c>
      <c r="J653">
        <v>4</v>
      </c>
      <c r="K653">
        <v>1</v>
      </c>
      <c r="L653" cm="1">
        <f t="array" ref="L653:O653">_xlfn.SORTBY($R$3:$U$3,H653:K653)</f>
        <v>1</v>
      </c>
      <c r="M653">
        <v>0</v>
      </c>
      <c r="N653">
        <v>0</v>
      </c>
      <c r="O653">
        <v>1</v>
      </c>
      <c r="P653" t="str">
        <f ca="1" t="shared" ref="P653:P683" si="96">E653&amp;" "&amp;L653&amp;" "&amp;M653&amp;" "&amp;N653&amp;" "&amp;O653</f>
        <v>116252 1 0 0 1</v>
      </c>
      <c r="R653">
        <v>1</v>
      </c>
      <c r="S653">
        <v>0</v>
      </c>
      <c r="T653">
        <v>0</v>
      </c>
      <c r="U653">
        <v>0</v>
      </c>
      <c r="V653" t="str">
        <f ca="1" t="shared" si="94"/>
        <v>116252 1 0 0 0</v>
      </c>
    </row>
    <row r="654" spans="3:22">
      <c r="C654">
        <v>14506</v>
      </c>
      <c r="D654">
        <f ca="1" t="shared" si="95"/>
        <v>116482</v>
      </c>
      <c r="E654" cm="1">
        <f ca="1" t="array" ref="E654">INDEX(C:C,MATCH(MIN(ABS(C:C-D654)),ABS(C:C-D654),0))</f>
        <v>116483</v>
      </c>
      <c r="G654">
        <f ca="1" t="shared" si="91"/>
        <v>231</v>
      </c>
      <c r="H654">
        <v>4</v>
      </c>
      <c r="I654">
        <v>3</v>
      </c>
      <c r="J654">
        <v>2</v>
      </c>
      <c r="K654">
        <v>1</v>
      </c>
      <c r="L654" cm="1">
        <f t="array" ref="L654:O654">_xlfn.SORTBY($R$3:$U$3,H654:K654)</f>
        <v>1</v>
      </c>
      <c r="M654">
        <v>1</v>
      </c>
      <c r="N654">
        <v>0</v>
      </c>
      <c r="O654">
        <v>0</v>
      </c>
      <c r="P654" t="str">
        <f ca="1" t="shared" si="96"/>
        <v>116483 1 1 0 0</v>
      </c>
      <c r="R654">
        <v>1</v>
      </c>
      <c r="S654">
        <v>1</v>
      </c>
      <c r="T654">
        <v>0</v>
      </c>
      <c r="U654">
        <v>0</v>
      </c>
      <c r="V654" t="str">
        <f ca="1" t="shared" si="94"/>
        <v>116483 1 1 0 0</v>
      </c>
    </row>
    <row r="655" spans="3:22">
      <c r="C655">
        <v>14529</v>
      </c>
      <c r="D655">
        <f ca="1" t="shared" si="95"/>
        <v>116713</v>
      </c>
      <c r="E655" cm="1">
        <f ca="1" t="array" ref="E655">INDEX(C:C,MATCH(MIN(ABS(C:C-D655)),ABS(C:C-D655),0))</f>
        <v>116713</v>
      </c>
      <c r="G655">
        <f ca="1" t="shared" si="91"/>
        <v>230</v>
      </c>
      <c r="H655">
        <v>1</v>
      </c>
      <c r="I655">
        <v>2</v>
      </c>
      <c r="J655">
        <v>3</v>
      </c>
      <c r="K655">
        <v>4</v>
      </c>
      <c r="L655" cm="1">
        <f t="array" ref="L655:O655">_xlfn.SORTBY($R$3:$U$3,H655:K655)</f>
        <v>0</v>
      </c>
      <c r="M655">
        <v>0</v>
      </c>
      <c r="N655">
        <v>1</v>
      </c>
      <c r="O655">
        <v>1</v>
      </c>
      <c r="P655" t="str">
        <f ca="1" t="shared" si="96"/>
        <v>116713 0 0 1 1</v>
      </c>
      <c r="R655">
        <v>0</v>
      </c>
      <c r="S655">
        <v>0</v>
      </c>
      <c r="T655">
        <v>0</v>
      </c>
      <c r="U655">
        <v>1</v>
      </c>
      <c r="V655" t="str">
        <f ca="1" t="shared" si="94"/>
        <v>116713 0 0 0 1</v>
      </c>
    </row>
    <row r="656" spans="3:22">
      <c r="C656">
        <v>14552</v>
      </c>
      <c r="D656">
        <f ca="1" t="shared" si="95"/>
        <v>116944</v>
      </c>
      <c r="E656" cm="1">
        <f ca="1" t="array" ref="E656">INDEX(C:C,MATCH(MIN(ABS(C:C-D656)),ABS(C:C-D656),0))</f>
        <v>116944</v>
      </c>
      <c r="G656">
        <f ca="1" t="shared" si="91"/>
        <v>231</v>
      </c>
      <c r="H656">
        <v>4</v>
      </c>
      <c r="I656">
        <v>2</v>
      </c>
      <c r="J656">
        <v>3</v>
      </c>
      <c r="K656">
        <v>1</v>
      </c>
      <c r="L656" cm="1">
        <f t="array" ref="L656:O656">_xlfn.SORTBY($R$3:$U$3,H656:K656)</f>
        <v>1</v>
      </c>
      <c r="M656">
        <v>0</v>
      </c>
      <c r="N656">
        <v>1</v>
      </c>
      <c r="O656">
        <v>0</v>
      </c>
      <c r="P656" t="str">
        <f ca="1" t="shared" si="96"/>
        <v>116944 1 0 1 0</v>
      </c>
      <c r="R656">
        <v>1</v>
      </c>
      <c r="S656">
        <v>0</v>
      </c>
      <c r="T656">
        <v>0</v>
      </c>
      <c r="U656">
        <v>0</v>
      </c>
      <c r="V656" t="str">
        <f ca="1" t="shared" si="94"/>
        <v>116944 1 0 0 0</v>
      </c>
    </row>
    <row r="657" spans="3:22">
      <c r="C657">
        <v>14575</v>
      </c>
      <c r="D657">
        <f ca="1" t="shared" si="95"/>
        <v>117059</v>
      </c>
      <c r="E657" cm="1">
        <f ca="1" t="array" ref="E657">INDEX(C:C,MATCH(MIN(ABS(C:C-D657)),ABS(C:C-D657),0))</f>
        <v>117060</v>
      </c>
      <c r="G657">
        <f ca="1" t="shared" si="91"/>
        <v>116</v>
      </c>
      <c r="H657">
        <v>1</v>
      </c>
      <c r="I657">
        <v>3</v>
      </c>
      <c r="J657">
        <v>2</v>
      </c>
      <c r="K657">
        <v>4</v>
      </c>
      <c r="L657" cm="1">
        <f t="array" ref="L657:O657">_xlfn.SORTBY($R$3:$U$3,H657:K657)</f>
        <v>0</v>
      </c>
      <c r="M657">
        <v>1</v>
      </c>
      <c r="N657">
        <v>0</v>
      </c>
      <c r="O657">
        <v>1</v>
      </c>
      <c r="P657" t="str">
        <f ca="1" t="shared" si="96"/>
        <v>117060 0 1 0 1</v>
      </c>
      <c r="R657">
        <v>0</v>
      </c>
      <c r="S657">
        <v>0</v>
      </c>
      <c r="T657">
        <v>0</v>
      </c>
      <c r="U657">
        <v>1</v>
      </c>
      <c r="V657" t="str">
        <f ca="1" t="shared" si="94"/>
        <v>117060 0 0 0 1</v>
      </c>
    </row>
    <row r="658" spans="3:22">
      <c r="C658">
        <v>14598</v>
      </c>
      <c r="D658">
        <f ca="1" t="shared" si="95"/>
        <v>117290</v>
      </c>
      <c r="E658" cm="1">
        <f ca="1" t="array" ref="E658">INDEX(C:C,MATCH(MIN(ABS(C:C-D658)),ABS(C:C-D658),0))</f>
        <v>117290</v>
      </c>
      <c r="G658">
        <f ca="1" t="shared" si="91"/>
        <v>230</v>
      </c>
      <c r="H658">
        <v>2</v>
      </c>
      <c r="I658">
        <v>3</v>
      </c>
      <c r="J658">
        <v>4</v>
      </c>
      <c r="K658">
        <v>1</v>
      </c>
      <c r="L658" cm="1">
        <f t="array" ref="L658:O658">_xlfn.SORTBY($R$3:$U$3,H658:K658)</f>
        <v>1</v>
      </c>
      <c r="M658">
        <v>0</v>
      </c>
      <c r="N658">
        <v>0</v>
      </c>
      <c r="O658">
        <v>1</v>
      </c>
      <c r="P658" t="str">
        <f ca="1" t="shared" si="96"/>
        <v>117290 1 0 0 1</v>
      </c>
      <c r="R658">
        <v>1</v>
      </c>
      <c r="S658">
        <v>0</v>
      </c>
      <c r="T658">
        <v>0</v>
      </c>
      <c r="U658">
        <v>0</v>
      </c>
      <c r="V658" t="str">
        <f ca="1" t="shared" si="94"/>
        <v>117290 1 0 0 0</v>
      </c>
    </row>
    <row r="659" spans="3:22">
      <c r="C659">
        <v>14621</v>
      </c>
      <c r="D659">
        <f ca="1" t="shared" si="95"/>
        <v>117405</v>
      </c>
      <c r="E659" cm="1">
        <f ca="1" t="array" ref="E659">INDEX(C:C,MATCH(MIN(ABS(C:C-D659)),ABS(C:C-D659),0))</f>
        <v>117406</v>
      </c>
      <c r="G659">
        <f ca="1" t="shared" si="91"/>
        <v>116</v>
      </c>
      <c r="H659">
        <v>1</v>
      </c>
      <c r="I659">
        <v>4</v>
      </c>
      <c r="J659">
        <v>3</v>
      </c>
      <c r="K659">
        <v>2</v>
      </c>
      <c r="L659" cm="1">
        <f t="array" ref="L659:O659">_xlfn.SORTBY($R$3:$U$3,H659:K659)</f>
        <v>0</v>
      </c>
      <c r="M659">
        <v>1</v>
      </c>
      <c r="N659">
        <v>1</v>
      </c>
      <c r="O659">
        <v>0</v>
      </c>
      <c r="P659" t="str">
        <f ca="1" t="shared" si="96"/>
        <v>117406 0 1 1 0</v>
      </c>
      <c r="R659">
        <v>0</v>
      </c>
      <c r="S659">
        <v>1</v>
      </c>
      <c r="T659">
        <v>0</v>
      </c>
      <c r="U659">
        <v>0</v>
      </c>
      <c r="V659" t="str">
        <f ca="1" t="shared" si="94"/>
        <v>117406 0 1 0 0</v>
      </c>
    </row>
    <row r="660" spans="3:22">
      <c r="C660">
        <v>14644</v>
      </c>
      <c r="D660">
        <f ca="1" t="shared" si="95"/>
        <v>117636</v>
      </c>
      <c r="E660" cm="1">
        <f ca="1" t="array" ref="E660">INDEX(C:C,MATCH(MIN(ABS(C:C-D660)),ABS(C:C-D660),0))</f>
        <v>117637</v>
      </c>
      <c r="G660">
        <f ca="1" t="shared" si="91"/>
        <v>231</v>
      </c>
      <c r="H660">
        <v>3</v>
      </c>
      <c r="I660">
        <v>4</v>
      </c>
      <c r="J660">
        <v>1</v>
      </c>
      <c r="K660">
        <v>2</v>
      </c>
      <c r="L660" cm="1">
        <f t="array" ref="L660:O660">_xlfn.SORTBY($R$3:$U$3,H660:K660)</f>
        <v>1</v>
      </c>
      <c r="M660">
        <v>1</v>
      </c>
      <c r="N660">
        <v>0</v>
      </c>
      <c r="O660">
        <v>0</v>
      </c>
      <c r="P660" t="str">
        <f ca="1" t="shared" si="96"/>
        <v>117637 1 1 0 0</v>
      </c>
      <c r="R660">
        <v>0</v>
      </c>
      <c r="S660">
        <v>1</v>
      </c>
      <c r="T660">
        <v>0</v>
      </c>
      <c r="U660">
        <v>0</v>
      </c>
      <c r="V660" t="str">
        <f ca="1" t="shared" si="94"/>
        <v>117637 0 1 0 0</v>
      </c>
    </row>
    <row r="661" spans="3:22">
      <c r="C661">
        <v>14667</v>
      </c>
      <c r="D661">
        <f ca="1" t="shared" si="95"/>
        <v>117751</v>
      </c>
      <c r="E661" cm="1">
        <f ca="1" t="array" ref="E661">INDEX(C:C,MATCH(MIN(ABS(C:C-D661)),ABS(C:C-D661),0))</f>
        <v>117752</v>
      </c>
      <c r="G661">
        <f ca="1" t="shared" si="91"/>
        <v>115</v>
      </c>
      <c r="H661">
        <v>2</v>
      </c>
      <c r="I661">
        <v>1</v>
      </c>
      <c r="J661">
        <v>4</v>
      </c>
      <c r="K661">
        <v>3</v>
      </c>
      <c r="L661" cm="1">
        <f t="array" ref="L661:O661">_xlfn.SORTBY($R$3:$U$3,H661:K661)</f>
        <v>0</v>
      </c>
      <c r="M661">
        <v>0</v>
      </c>
      <c r="N661">
        <v>1</v>
      </c>
      <c r="O661">
        <v>1</v>
      </c>
      <c r="P661" t="str">
        <f ca="1" t="shared" si="96"/>
        <v>117752 0 0 1 1</v>
      </c>
      <c r="R661">
        <v>0</v>
      </c>
      <c r="S661">
        <v>0</v>
      </c>
      <c r="T661">
        <v>1</v>
      </c>
      <c r="U661">
        <v>0</v>
      </c>
      <c r="V661" t="str">
        <f ca="1" t="shared" si="94"/>
        <v>117752 0 0 1 0</v>
      </c>
    </row>
    <row r="662" spans="3:22">
      <c r="C662">
        <v>14690</v>
      </c>
      <c r="D662">
        <f ca="1" t="shared" si="95"/>
        <v>117982</v>
      </c>
      <c r="E662" cm="1">
        <f ca="1" t="array" ref="E662">INDEX(C:C,MATCH(MIN(ABS(C:C-D662)),ABS(C:C-D662),0))</f>
        <v>117983</v>
      </c>
      <c r="G662">
        <f ca="1" t="shared" si="91"/>
        <v>231</v>
      </c>
      <c r="H662">
        <v>3</v>
      </c>
      <c r="I662">
        <v>2</v>
      </c>
      <c r="J662">
        <v>4</v>
      </c>
      <c r="K662">
        <v>1</v>
      </c>
      <c r="L662" cm="1">
        <f t="array" ref="L662:O662">_xlfn.SORTBY($R$3:$U$3,H662:K662)</f>
        <v>1</v>
      </c>
      <c r="M662">
        <v>0</v>
      </c>
      <c r="N662">
        <v>0</v>
      </c>
      <c r="O662">
        <v>1</v>
      </c>
      <c r="P662" t="str">
        <f ca="1" t="shared" si="96"/>
        <v>117983 1 0 0 1</v>
      </c>
      <c r="R662">
        <v>1</v>
      </c>
      <c r="S662">
        <v>0</v>
      </c>
      <c r="T662">
        <v>0</v>
      </c>
      <c r="U662">
        <v>0</v>
      </c>
      <c r="V662" t="str">
        <f ca="1" t="shared" si="94"/>
        <v>117983 1 0 0 0</v>
      </c>
    </row>
    <row r="663" spans="3:22">
      <c r="C663">
        <v>14713</v>
      </c>
      <c r="D663">
        <f ca="1" t="shared" si="95"/>
        <v>118097</v>
      </c>
      <c r="E663" cm="1">
        <f ca="1" t="array" ref="E663">INDEX(C:C,MATCH(MIN(ABS(C:C-D663)),ABS(C:C-D663),0))</f>
        <v>118098</v>
      </c>
      <c r="G663">
        <f ca="1" t="shared" si="91"/>
        <v>115</v>
      </c>
      <c r="H663">
        <v>1</v>
      </c>
      <c r="I663">
        <v>3</v>
      </c>
      <c r="J663">
        <v>2</v>
      </c>
      <c r="K663">
        <v>4</v>
      </c>
      <c r="L663" cm="1">
        <f t="array" ref="L663:O663">_xlfn.SORTBY($R$3:$U$3,H663:K663)</f>
        <v>0</v>
      </c>
      <c r="M663">
        <v>1</v>
      </c>
      <c r="N663">
        <v>0</v>
      </c>
      <c r="O663">
        <v>1</v>
      </c>
      <c r="P663" t="str">
        <f ca="1" t="shared" si="96"/>
        <v>118098 0 1 0 1</v>
      </c>
      <c r="R663">
        <v>0</v>
      </c>
      <c r="S663">
        <v>0</v>
      </c>
      <c r="T663">
        <v>0</v>
      </c>
      <c r="U663">
        <v>1</v>
      </c>
      <c r="V663" t="str">
        <f ca="1" t="shared" si="94"/>
        <v>118098 0 0 0 1</v>
      </c>
    </row>
    <row r="664" spans="3:22">
      <c r="C664">
        <v>14737</v>
      </c>
      <c r="D664">
        <f ca="1" t="shared" si="95"/>
        <v>118328</v>
      </c>
      <c r="E664" cm="1">
        <f ca="1" t="array" ref="E664">INDEX(C:C,MATCH(MIN(ABS(C:C-D664)),ABS(C:C-D664),0))</f>
        <v>118329</v>
      </c>
      <c r="G664">
        <f ca="1" t="shared" si="91"/>
        <v>231</v>
      </c>
      <c r="H664">
        <v>4</v>
      </c>
      <c r="I664">
        <v>3</v>
      </c>
      <c r="J664">
        <v>2</v>
      </c>
      <c r="K664">
        <v>1</v>
      </c>
      <c r="L664" cm="1">
        <f t="array" ref="L664:O664">_xlfn.SORTBY($R$3:$U$3,H664:K664)</f>
        <v>1</v>
      </c>
      <c r="M664">
        <v>1</v>
      </c>
      <c r="N664">
        <v>0</v>
      </c>
      <c r="O664">
        <v>0</v>
      </c>
      <c r="P664" t="str">
        <f ca="1" t="shared" si="96"/>
        <v>118329 1 1 0 0</v>
      </c>
      <c r="R664">
        <v>1</v>
      </c>
      <c r="S664">
        <v>1</v>
      </c>
      <c r="T664">
        <v>0</v>
      </c>
      <c r="U664">
        <v>0</v>
      </c>
      <c r="V664" t="str">
        <f ca="1" t="shared" si="94"/>
        <v>118329 1 1 0 0</v>
      </c>
    </row>
    <row r="665" spans="3:22">
      <c r="C665">
        <v>14760</v>
      </c>
      <c r="D665">
        <f ca="1" t="shared" si="95"/>
        <v>118558</v>
      </c>
      <c r="E665" cm="1">
        <f ca="1" t="array" ref="E665">INDEX(C:C,MATCH(MIN(ABS(C:C-D665)),ABS(C:C-D665),0))</f>
        <v>118560</v>
      </c>
      <c r="G665">
        <f ca="1" t="shared" si="91"/>
        <v>231</v>
      </c>
      <c r="H665">
        <v>1</v>
      </c>
      <c r="I665">
        <v>2</v>
      </c>
      <c r="J665">
        <v>3</v>
      </c>
      <c r="K665">
        <v>4</v>
      </c>
      <c r="L665" cm="1">
        <f t="array" ref="L665:O665">_xlfn.SORTBY($R$3:$U$3,H665:K665)</f>
        <v>0</v>
      </c>
      <c r="M665">
        <v>0</v>
      </c>
      <c r="N665">
        <v>1</v>
      </c>
      <c r="O665">
        <v>1</v>
      </c>
      <c r="P665" t="str">
        <f ca="1" t="shared" si="96"/>
        <v>118560 0 0 1 1</v>
      </c>
      <c r="R665">
        <v>0</v>
      </c>
      <c r="S665">
        <v>0</v>
      </c>
      <c r="T665">
        <v>0</v>
      </c>
      <c r="U665">
        <v>1</v>
      </c>
      <c r="V665" t="str">
        <f ca="1" t="shared" si="94"/>
        <v>118560 0 0 0 1</v>
      </c>
    </row>
    <row r="666" spans="3:22">
      <c r="C666">
        <v>14783</v>
      </c>
      <c r="D666">
        <f ca="1" t="shared" si="95"/>
        <v>118789</v>
      </c>
      <c r="E666" cm="1">
        <f ca="1" t="array" ref="E666">INDEX(C:C,MATCH(MIN(ABS(C:C-D666)),ABS(C:C-D666),0))</f>
        <v>118790</v>
      </c>
      <c r="G666">
        <f ca="1" t="shared" si="91"/>
        <v>230</v>
      </c>
      <c r="H666">
        <v>4</v>
      </c>
      <c r="I666">
        <v>2</v>
      </c>
      <c r="J666">
        <v>3</v>
      </c>
      <c r="K666">
        <v>1</v>
      </c>
      <c r="L666" cm="1">
        <f t="array" ref="L666:O666">_xlfn.SORTBY($R$3:$U$3,H666:K666)</f>
        <v>1</v>
      </c>
      <c r="M666">
        <v>0</v>
      </c>
      <c r="N666">
        <v>1</v>
      </c>
      <c r="O666">
        <v>0</v>
      </c>
      <c r="P666" t="str">
        <f ca="1" t="shared" si="96"/>
        <v>118790 1 0 1 0</v>
      </c>
      <c r="R666">
        <v>1</v>
      </c>
      <c r="S666">
        <v>0</v>
      </c>
      <c r="T666">
        <v>0</v>
      </c>
      <c r="U666">
        <v>0</v>
      </c>
      <c r="V666" t="str">
        <f ca="1" t="shared" si="94"/>
        <v>118790 1 0 0 0</v>
      </c>
    </row>
    <row r="667" spans="3:22">
      <c r="C667">
        <v>14806</v>
      </c>
      <c r="D667">
        <f ca="1" t="shared" si="95"/>
        <v>118905</v>
      </c>
      <c r="E667" cm="1">
        <f ca="1" t="array" ref="E667">INDEX(C:C,MATCH(MIN(ABS(C:C-D667)),ABS(C:C-D667),0))</f>
        <v>118906</v>
      </c>
      <c r="G667">
        <f ca="1" t="shared" si="91"/>
        <v>116</v>
      </c>
      <c r="H667">
        <v>1</v>
      </c>
      <c r="I667">
        <v>3</v>
      </c>
      <c r="J667">
        <v>2</v>
      </c>
      <c r="K667">
        <v>4</v>
      </c>
      <c r="L667" cm="1">
        <f t="array" ref="L667:O667">_xlfn.SORTBY($R$3:$U$3,H667:K667)</f>
        <v>0</v>
      </c>
      <c r="M667">
        <v>1</v>
      </c>
      <c r="N667">
        <v>0</v>
      </c>
      <c r="O667">
        <v>1</v>
      </c>
      <c r="P667" t="str">
        <f ca="1" t="shared" si="96"/>
        <v>118906 0 1 0 1</v>
      </c>
      <c r="R667">
        <v>0</v>
      </c>
      <c r="S667">
        <v>0</v>
      </c>
      <c r="T667">
        <v>0</v>
      </c>
      <c r="U667">
        <v>1</v>
      </c>
      <c r="V667" t="str">
        <f ca="1" t="shared" si="94"/>
        <v>118906 0 0 0 1</v>
      </c>
    </row>
    <row r="668" spans="3:22">
      <c r="C668">
        <v>14829</v>
      </c>
      <c r="D668">
        <f ca="1" t="shared" si="95"/>
        <v>119135</v>
      </c>
      <c r="E668" cm="1">
        <f ca="1" t="array" ref="E668">INDEX(C:C,MATCH(MIN(ABS(C:C-D668)),ABS(C:C-D668),0))</f>
        <v>119137</v>
      </c>
      <c r="G668">
        <f ca="1" t="shared" si="91"/>
        <v>231</v>
      </c>
      <c r="H668">
        <v>2</v>
      </c>
      <c r="I668">
        <v>3</v>
      </c>
      <c r="J668">
        <v>4</v>
      </c>
      <c r="K668">
        <v>1</v>
      </c>
      <c r="L668" cm="1">
        <f t="array" ref="L668:O668">_xlfn.SORTBY($R$3:$U$3,H668:K668)</f>
        <v>1</v>
      </c>
      <c r="M668">
        <v>0</v>
      </c>
      <c r="N668">
        <v>0</v>
      </c>
      <c r="O668">
        <v>1</v>
      </c>
      <c r="P668" t="str">
        <f ca="1" t="shared" si="96"/>
        <v>119137 1 0 0 1</v>
      </c>
      <c r="R668">
        <v>1</v>
      </c>
      <c r="S668">
        <v>0</v>
      </c>
      <c r="T668">
        <v>0</v>
      </c>
      <c r="U668">
        <v>0</v>
      </c>
      <c r="V668" t="str">
        <f ca="1" t="shared" si="94"/>
        <v>119137 1 0 0 0</v>
      </c>
    </row>
    <row r="669" spans="3:22">
      <c r="C669">
        <v>14852</v>
      </c>
      <c r="D669">
        <f ca="1" t="shared" si="95"/>
        <v>119251</v>
      </c>
      <c r="E669" cm="1">
        <f ca="1" t="array" ref="E669">INDEX(C:C,MATCH(MIN(ABS(C:C-D669)),ABS(C:C-D669),0))</f>
        <v>119252</v>
      </c>
      <c r="G669">
        <f ca="1" t="shared" si="91"/>
        <v>115</v>
      </c>
      <c r="H669">
        <v>1</v>
      </c>
      <c r="I669">
        <v>4</v>
      </c>
      <c r="J669">
        <v>3</v>
      </c>
      <c r="K669">
        <v>2</v>
      </c>
      <c r="L669" cm="1">
        <f t="array" ref="L669:O669">_xlfn.SORTBY($R$3:$U$3,H669:K669)</f>
        <v>0</v>
      </c>
      <c r="M669">
        <v>1</v>
      </c>
      <c r="N669">
        <v>1</v>
      </c>
      <c r="O669">
        <v>0</v>
      </c>
      <c r="P669" t="str">
        <f ca="1" t="shared" si="96"/>
        <v>119252 0 1 1 0</v>
      </c>
      <c r="R669">
        <v>0</v>
      </c>
      <c r="S669">
        <v>1</v>
      </c>
      <c r="T669">
        <v>0</v>
      </c>
      <c r="U669">
        <v>0</v>
      </c>
      <c r="V669" t="str">
        <f ca="1" t="shared" si="94"/>
        <v>119252 0 1 0 0</v>
      </c>
    </row>
    <row r="670" spans="3:22">
      <c r="C670">
        <v>14875</v>
      </c>
      <c r="D670">
        <f ca="1" t="shared" si="95"/>
        <v>119482</v>
      </c>
      <c r="E670" cm="1">
        <f ca="1" t="array" ref="E670">INDEX(C:C,MATCH(MIN(ABS(C:C-D670)),ABS(C:C-D670),0))</f>
        <v>119483</v>
      </c>
      <c r="G670">
        <f ca="1" t="shared" si="91"/>
        <v>231</v>
      </c>
      <c r="H670">
        <v>3</v>
      </c>
      <c r="I670">
        <v>4</v>
      </c>
      <c r="J670">
        <v>1</v>
      </c>
      <c r="K670">
        <v>2</v>
      </c>
      <c r="L670" cm="1">
        <f t="array" ref="L670:O670">_xlfn.SORTBY($R$3:$U$3,H670:K670)</f>
        <v>1</v>
      </c>
      <c r="M670">
        <v>1</v>
      </c>
      <c r="N670">
        <v>0</v>
      </c>
      <c r="O670">
        <v>0</v>
      </c>
      <c r="P670" t="str">
        <f ca="1" t="shared" si="96"/>
        <v>119483 1 1 0 0</v>
      </c>
      <c r="R670">
        <v>0</v>
      </c>
      <c r="S670">
        <v>1</v>
      </c>
      <c r="T670">
        <v>0</v>
      </c>
      <c r="U670">
        <v>0</v>
      </c>
      <c r="V670" t="str">
        <f ca="1" t="shared" si="94"/>
        <v>119483 0 1 0 0</v>
      </c>
    </row>
    <row r="671" spans="3:22">
      <c r="C671">
        <v>14898</v>
      </c>
      <c r="D671">
        <f ca="1" t="shared" si="95"/>
        <v>119597</v>
      </c>
      <c r="E671" cm="1">
        <f ca="1" t="array" ref="E671">INDEX(C:C,MATCH(MIN(ABS(C:C-D671)),ABS(C:C-D671),0))</f>
        <v>119598</v>
      </c>
      <c r="G671">
        <f ca="1" t="shared" si="91"/>
        <v>115</v>
      </c>
      <c r="H671">
        <v>2</v>
      </c>
      <c r="I671">
        <v>1</v>
      </c>
      <c r="J671">
        <v>4</v>
      </c>
      <c r="K671">
        <v>3</v>
      </c>
      <c r="L671" cm="1">
        <f t="array" ref="L671:O671">_xlfn.SORTBY($R$3:$U$3,H671:K671)</f>
        <v>0</v>
      </c>
      <c r="M671">
        <v>0</v>
      </c>
      <c r="N671">
        <v>1</v>
      </c>
      <c r="O671">
        <v>1</v>
      </c>
      <c r="P671" t="str">
        <f ca="1" t="shared" si="96"/>
        <v>119598 0 0 1 1</v>
      </c>
      <c r="R671">
        <v>0</v>
      </c>
      <c r="S671">
        <v>0</v>
      </c>
      <c r="T671">
        <v>1</v>
      </c>
      <c r="U671">
        <v>0</v>
      </c>
      <c r="V671" t="str">
        <f ca="1" t="shared" si="94"/>
        <v>119598 0 0 1 0</v>
      </c>
    </row>
    <row r="672" spans="3:22">
      <c r="C672">
        <v>14921</v>
      </c>
      <c r="D672">
        <f ca="1" t="shared" si="95"/>
        <v>119828</v>
      </c>
      <c r="E672" cm="1">
        <f ca="1" t="array" ref="E672">INDEX(C:C,MATCH(MIN(ABS(C:C-D672)),ABS(C:C-D672),0))</f>
        <v>119829</v>
      </c>
      <c r="G672">
        <f ca="1" t="shared" si="91"/>
        <v>231</v>
      </c>
      <c r="H672">
        <v>3</v>
      </c>
      <c r="I672">
        <v>2</v>
      </c>
      <c r="J672">
        <v>4</v>
      </c>
      <c r="K672">
        <v>1</v>
      </c>
      <c r="L672" cm="1">
        <f t="array" ref="L672:O672">_xlfn.SORTBY($R$3:$U$3,H672:K672)</f>
        <v>1</v>
      </c>
      <c r="M672">
        <v>0</v>
      </c>
      <c r="N672">
        <v>0</v>
      </c>
      <c r="O672">
        <v>1</v>
      </c>
      <c r="P672" t="str">
        <f ca="1" t="shared" si="96"/>
        <v>119829 1 0 0 1</v>
      </c>
      <c r="R672">
        <v>1</v>
      </c>
      <c r="S672">
        <v>0</v>
      </c>
      <c r="T672">
        <v>0</v>
      </c>
      <c r="U672">
        <v>0</v>
      </c>
      <c r="V672" t="str">
        <f ca="1" t="shared" si="94"/>
        <v>119829 1 0 0 0</v>
      </c>
    </row>
    <row r="673" spans="1:22">
      <c r="C673">
        <v>14944</v>
      </c>
      <c r="D673">
        <f ca="1" t="shared" si="95"/>
        <v>119943</v>
      </c>
      <c r="E673" cm="1">
        <f ca="1" t="array" ref="E673">INDEX(C:C,MATCH(MIN(ABS(C:C-D673)),ABS(C:C-D673),0))</f>
        <v>119944</v>
      </c>
      <c r="G673">
        <f ca="1" t="shared" si="91"/>
        <v>115</v>
      </c>
      <c r="H673">
        <v>1</v>
      </c>
      <c r="I673">
        <v>3</v>
      </c>
      <c r="J673">
        <v>2</v>
      </c>
      <c r="K673">
        <v>4</v>
      </c>
      <c r="L673" cm="1">
        <f t="array" ref="L673:O673">_xlfn.SORTBY($R$3:$U$3,H673:K673)</f>
        <v>0</v>
      </c>
      <c r="M673">
        <v>1</v>
      </c>
      <c r="N673">
        <v>0</v>
      </c>
      <c r="O673">
        <v>1</v>
      </c>
      <c r="P673" t="str">
        <f ca="1" t="shared" si="96"/>
        <v>119944 0 1 0 1</v>
      </c>
      <c r="R673">
        <v>0</v>
      </c>
      <c r="S673">
        <v>0</v>
      </c>
      <c r="T673">
        <v>0</v>
      </c>
      <c r="U673">
        <v>1</v>
      </c>
      <c r="V673" t="str">
        <f ca="1" t="shared" si="94"/>
        <v>119944 0 0 0 1</v>
      </c>
    </row>
    <row r="674" spans="1:22">
      <c r="C674">
        <v>14967</v>
      </c>
      <c r="D674">
        <f ca="1" t="shared" si="95"/>
        <v>120174</v>
      </c>
      <c r="E674" cm="1">
        <f ca="1" t="array" ref="E674">INDEX(C:C,MATCH(MIN(ABS(C:C-D674)),ABS(C:C-D674),0))</f>
        <v>120175</v>
      </c>
      <c r="G674">
        <f ca="1" t="shared" si="91"/>
        <v>231</v>
      </c>
      <c r="H674">
        <v>1</v>
      </c>
      <c r="I674">
        <v>2</v>
      </c>
      <c r="J674">
        <v>3</v>
      </c>
      <c r="K674">
        <v>4</v>
      </c>
      <c r="L674" cm="1">
        <f t="array" ref="L674:O674">_xlfn.SORTBY($R$2:$U$2,H674:K674)</f>
        <v>0</v>
      </c>
      <c r="M674">
        <v>1</v>
      </c>
      <c r="N674">
        <v>1</v>
      </c>
      <c r="O674">
        <v>1</v>
      </c>
      <c r="P674" t="str">
        <f ca="1" t="shared" si="96"/>
        <v>120175 0 1 1 1</v>
      </c>
      <c r="R674">
        <v>0</v>
      </c>
      <c r="S674">
        <v>0</v>
      </c>
      <c r="T674">
        <v>1</v>
      </c>
      <c r="U674">
        <v>1</v>
      </c>
      <c r="V674" t="str">
        <f ca="1" t="shared" si="94"/>
        <v>120175 0 0 1 1</v>
      </c>
    </row>
    <row r="675" spans="1:22">
      <c r="C675">
        <v>14990</v>
      </c>
      <c r="D675">
        <f ca="1" t="shared" si="95"/>
        <v>120405</v>
      </c>
      <c r="E675" cm="1">
        <f ca="1" t="array" ref="E675">INDEX(C:C,MATCH(MIN(ABS(C:C-D675)),ABS(C:C-D675),0))</f>
        <v>120406</v>
      </c>
      <c r="G675">
        <f ca="1" t="shared" si="91"/>
        <v>231</v>
      </c>
      <c r="H675">
        <v>4</v>
      </c>
      <c r="I675">
        <v>3</v>
      </c>
      <c r="J675">
        <v>2</v>
      </c>
      <c r="K675">
        <v>1</v>
      </c>
      <c r="L675" cm="1">
        <f t="array" ref="L675:O675">_xlfn.SORTBY($R$2:$U$2,H675:K675)</f>
        <v>1</v>
      </c>
      <c r="M675">
        <v>1</v>
      </c>
      <c r="N675">
        <v>1</v>
      </c>
      <c r="O675">
        <v>0</v>
      </c>
      <c r="P675" t="str">
        <f ca="1" t="shared" si="96"/>
        <v>120406 1 1 1 0</v>
      </c>
      <c r="R675">
        <v>1</v>
      </c>
      <c r="S675">
        <v>0</v>
      </c>
      <c r="T675">
        <v>0</v>
      </c>
      <c r="U675">
        <v>0</v>
      </c>
      <c r="V675" t="str">
        <f ca="1" t="shared" si="94"/>
        <v>120406 1 0 0 0</v>
      </c>
    </row>
    <row r="676" spans="1:22">
      <c r="C676">
        <v>15013</v>
      </c>
      <c r="D676">
        <f ca="1" t="shared" si="95"/>
        <v>120636</v>
      </c>
      <c r="E676" cm="1">
        <f ca="1" t="array" ref="E676">INDEX(C:C,MATCH(MIN(ABS(C:C-D676)),ABS(C:C-D676),0))</f>
        <v>120637</v>
      </c>
      <c r="G676">
        <f ca="1" t="shared" si="91"/>
        <v>231</v>
      </c>
      <c r="H676">
        <v>1</v>
      </c>
      <c r="I676">
        <v>3</v>
      </c>
      <c r="J676">
        <v>2</v>
      </c>
      <c r="K676">
        <v>4</v>
      </c>
      <c r="L676" cm="1">
        <f t="array" ref="L676:O676">_xlfn.SORTBY($R$2:$U$2,H676:K676)</f>
        <v>0</v>
      </c>
      <c r="M676">
        <v>1</v>
      </c>
      <c r="N676">
        <v>1</v>
      </c>
      <c r="O676">
        <v>1</v>
      </c>
      <c r="P676" t="str">
        <f ca="1" t="shared" si="96"/>
        <v>120637 0 1 1 1</v>
      </c>
      <c r="R676">
        <v>0</v>
      </c>
      <c r="S676">
        <v>0</v>
      </c>
      <c r="T676">
        <v>0</v>
      </c>
      <c r="U676">
        <v>1</v>
      </c>
      <c r="V676" t="str">
        <f ca="1" t="shared" si="94"/>
        <v>120637 0 0 0 1</v>
      </c>
    </row>
    <row r="677" spans="1:22">
      <c r="C677">
        <v>15037</v>
      </c>
      <c r="D677">
        <f ca="1" t="shared" si="95"/>
        <v>120751</v>
      </c>
      <c r="E677" cm="1">
        <f ca="1" t="array" ref="E677">INDEX(C:C,MATCH(MIN(ABS(C:C-D677)),ABS(C:C-D677),0))</f>
        <v>120752</v>
      </c>
      <c r="G677">
        <f ca="1" t="shared" si="91"/>
        <v>115</v>
      </c>
      <c r="H677">
        <v>4</v>
      </c>
      <c r="I677">
        <v>2</v>
      </c>
      <c r="J677">
        <v>3</v>
      </c>
      <c r="K677">
        <v>1</v>
      </c>
      <c r="L677" cm="1">
        <f t="array" ref="L677:O677">_xlfn.SORTBY($R$2:$U$2,H677:K677)</f>
        <v>1</v>
      </c>
      <c r="M677">
        <v>1</v>
      </c>
      <c r="N677">
        <v>1</v>
      </c>
      <c r="O677">
        <v>0</v>
      </c>
      <c r="P677" t="str">
        <f ca="1" t="shared" si="96"/>
        <v>120752 1 1 1 0</v>
      </c>
      <c r="R677">
        <v>1</v>
      </c>
      <c r="S677">
        <v>0</v>
      </c>
      <c r="T677">
        <v>0</v>
      </c>
      <c r="U677">
        <v>0</v>
      </c>
      <c r="V677" t="str">
        <f ca="1" t="shared" si="94"/>
        <v>120752 1 0 0 0</v>
      </c>
    </row>
    <row r="678" spans="1:22">
      <c r="C678">
        <v>15060</v>
      </c>
      <c r="D678">
        <f ca="1" t="shared" si="95"/>
        <v>120982</v>
      </c>
      <c r="E678" cm="1">
        <f ca="1" t="array" ref="E678">INDEX(C:C,MATCH(MIN(ABS(C:C-D678)),ABS(C:C-D678),0))</f>
        <v>120983</v>
      </c>
      <c r="G678">
        <f ca="1" t="shared" si="91"/>
        <v>231</v>
      </c>
      <c r="H678">
        <v>1</v>
      </c>
      <c r="I678">
        <v>4</v>
      </c>
      <c r="J678">
        <v>3</v>
      </c>
      <c r="K678">
        <v>2</v>
      </c>
      <c r="L678" cm="1">
        <f t="array" ref="L678:O678">_xlfn.SORTBY($R$2:$U$2,H678:K678)</f>
        <v>0</v>
      </c>
      <c r="M678">
        <v>1</v>
      </c>
      <c r="N678">
        <v>1</v>
      </c>
      <c r="O678">
        <v>1</v>
      </c>
      <c r="P678" t="str">
        <f ca="1" t="shared" si="96"/>
        <v>120983 0 1 1 1</v>
      </c>
      <c r="R678">
        <v>0</v>
      </c>
      <c r="S678">
        <v>1</v>
      </c>
      <c r="T678">
        <v>0</v>
      </c>
      <c r="U678">
        <v>0</v>
      </c>
      <c r="V678" t="str">
        <f ca="1" t="shared" si="94"/>
        <v>120983 0 1 0 0</v>
      </c>
    </row>
    <row r="679" spans="1:22">
      <c r="C679">
        <v>15083</v>
      </c>
      <c r="D679">
        <f ca="1" t="shared" si="95"/>
        <v>121097</v>
      </c>
      <c r="E679" cm="1">
        <f ca="1" t="array" ref="E679">INDEX(C:C,MATCH(MIN(ABS(C:C-D679)),ABS(C:C-D679),0))</f>
        <v>121098</v>
      </c>
      <c r="G679">
        <f ca="1" t="shared" si="91"/>
        <v>115</v>
      </c>
      <c r="H679">
        <v>2</v>
      </c>
      <c r="I679">
        <v>3</v>
      </c>
      <c r="J679">
        <v>4</v>
      </c>
      <c r="K679">
        <v>1</v>
      </c>
      <c r="L679" cm="1">
        <f t="array" ref="L679:O679">_xlfn.SORTBY($R$2:$U$2,H679:K679)</f>
        <v>1</v>
      </c>
      <c r="M679">
        <v>0</v>
      </c>
      <c r="N679">
        <v>1</v>
      </c>
      <c r="O679">
        <v>1</v>
      </c>
      <c r="P679" t="str">
        <f ca="1" t="shared" si="96"/>
        <v>121098 1 0 1 1</v>
      </c>
      <c r="R679">
        <v>1</v>
      </c>
      <c r="S679">
        <v>0</v>
      </c>
      <c r="T679">
        <v>0</v>
      </c>
      <c r="U679">
        <v>0</v>
      </c>
      <c r="V679" t="str">
        <f ca="1" t="shared" si="94"/>
        <v>121098 1 0 0 0</v>
      </c>
    </row>
    <row r="680" spans="1:22">
      <c r="C680">
        <v>15106</v>
      </c>
      <c r="D680">
        <f ca="1" t="shared" si="95"/>
        <v>121328</v>
      </c>
      <c r="E680" cm="1">
        <f ca="1" t="array" ref="E680">INDEX(C:C,MATCH(MIN(ABS(C:C-D680)),ABS(C:C-D680),0))</f>
        <v>121329</v>
      </c>
      <c r="G680">
        <f ca="1" t="shared" si="91"/>
        <v>231</v>
      </c>
      <c r="H680">
        <v>2</v>
      </c>
      <c r="I680">
        <v>1</v>
      </c>
      <c r="J680">
        <v>4</v>
      </c>
      <c r="K680">
        <v>3</v>
      </c>
      <c r="L680" cm="1">
        <f t="array" ref="L680:O680">_xlfn.SORTBY($R$2:$U$2,H680:K680)</f>
        <v>1</v>
      </c>
      <c r="M680">
        <v>0</v>
      </c>
      <c r="N680">
        <v>1</v>
      </c>
      <c r="O680">
        <v>1</v>
      </c>
      <c r="P680" t="str">
        <f ca="1" t="shared" si="96"/>
        <v>121329 1 0 1 1</v>
      </c>
      <c r="R680">
        <v>0</v>
      </c>
      <c r="S680">
        <v>0</v>
      </c>
      <c r="T680">
        <v>1</v>
      </c>
      <c r="U680">
        <v>0</v>
      </c>
      <c r="V680" t="str">
        <f ca="1" t="shared" si="94"/>
        <v>121329 0 0 1 0</v>
      </c>
    </row>
    <row r="681" spans="1:22">
      <c r="C681">
        <v>15129</v>
      </c>
      <c r="D681">
        <f ca="1" t="shared" si="95"/>
        <v>121443</v>
      </c>
      <c r="E681" cm="1">
        <f ca="1" t="array" ref="E681">INDEX(C:C,MATCH(MIN(ABS(C:C-D681)),ABS(C:C-D681),0))</f>
        <v>121444</v>
      </c>
      <c r="G681">
        <f ca="1" t="shared" ref="G681:G697" si="97">E681-E680</f>
        <v>115</v>
      </c>
      <c r="H681">
        <v>3</v>
      </c>
      <c r="I681">
        <v>4</v>
      </c>
      <c r="J681">
        <v>1</v>
      </c>
      <c r="K681">
        <v>2</v>
      </c>
      <c r="L681" cm="1">
        <f t="array" ref="L681:O681">_xlfn.SORTBY($R$2:$U$2,H681:K681)</f>
        <v>1</v>
      </c>
      <c r="M681">
        <v>1</v>
      </c>
      <c r="N681">
        <v>0</v>
      </c>
      <c r="O681">
        <v>1</v>
      </c>
      <c r="P681" t="str">
        <f ca="1" t="shared" si="96"/>
        <v>121444 1 1 0 1</v>
      </c>
      <c r="R681">
        <v>0</v>
      </c>
      <c r="S681">
        <v>1</v>
      </c>
      <c r="T681">
        <v>0</v>
      </c>
      <c r="U681">
        <v>0</v>
      </c>
      <c r="V681" t="str">
        <f ca="1" t="shared" si="94"/>
        <v>121444 0 1 0 0</v>
      </c>
    </row>
    <row r="682" spans="1:22">
      <c r="C682">
        <v>15152</v>
      </c>
      <c r="D682">
        <f ca="1" t="shared" si="95"/>
        <v>121674</v>
      </c>
      <c r="E682" cm="1">
        <f ca="1" t="array" ref="E682">INDEX(C:C,MATCH(MIN(ABS(C:C-D682)),ABS(C:C-D682),0))</f>
        <v>121675</v>
      </c>
      <c r="G682">
        <f ca="1" t="shared" si="97"/>
        <v>231</v>
      </c>
      <c r="H682">
        <v>1</v>
      </c>
      <c r="I682">
        <v>3</v>
      </c>
      <c r="J682">
        <v>2</v>
      </c>
      <c r="K682">
        <v>4</v>
      </c>
      <c r="L682" cm="1">
        <f t="array" ref="L682:O682">_xlfn.SORTBY($R$2:$U$2,H682:K682)</f>
        <v>0</v>
      </c>
      <c r="M682">
        <v>1</v>
      </c>
      <c r="N682">
        <v>1</v>
      </c>
      <c r="O682">
        <v>1</v>
      </c>
      <c r="P682" t="str">
        <f ca="1" t="shared" si="96"/>
        <v>121675 0 1 1 1</v>
      </c>
      <c r="R682">
        <v>0</v>
      </c>
      <c r="S682">
        <v>0</v>
      </c>
      <c r="T682">
        <v>0</v>
      </c>
      <c r="U682">
        <v>1</v>
      </c>
      <c r="V682" t="str">
        <f ca="1" t="shared" si="94"/>
        <v>121675 0 0 0 1</v>
      </c>
    </row>
    <row r="683" spans="1:22">
      <c r="C683">
        <v>15175</v>
      </c>
      <c r="D683">
        <f ca="1" t="shared" si="95"/>
        <v>121789</v>
      </c>
      <c r="E683" cm="1">
        <f ca="1" t="array" ref="E683">INDEX(C:C,MATCH(MIN(ABS(C:C-D683)),ABS(C:C-D683),0))</f>
        <v>121790</v>
      </c>
      <c r="G683">
        <f ca="1" t="shared" si="97"/>
        <v>115</v>
      </c>
      <c r="H683">
        <v>3</v>
      </c>
      <c r="I683">
        <v>2</v>
      </c>
      <c r="J683">
        <v>4</v>
      </c>
      <c r="K683">
        <v>1</v>
      </c>
      <c r="L683" cm="1">
        <f t="array" ref="L683:O683">_xlfn.SORTBY($R$2:$U$2,H683:K683)</f>
        <v>1</v>
      </c>
      <c r="M683">
        <v>1</v>
      </c>
      <c r="N683">
        <v>0</v>
      </c>
      <c r="O683">
        <v>1</v>
      </c>
      <c r="P683" t="str">
        <f ca="1" t="shared" si="96"/>
        <v>121790 1 1 0 1</v>
      </c>
      <c r="R683">
        <v>1</v>
      </c>
      <c r="S683">
        <v>0</v>
      </c>
      <c r="T683">
        <v>0</v>
      </c>
      <c r="U683">
        <v>0</v>
      </c>
      <c r="V683" t="str">
        <f ca="1" t="shared" si="94"/>
        <v>121790 1 0 0 0</v>
      </c>
    </row>
    <row r="684" spans="1:22">
      <c r="A684" t="s">
        <v>100</v>
      </c>
      <c r="C684">
        <v>15198</v>
      </c>
      <c r="D684">
        <v>122019</v>
      </c>
      <c r="E684" cm="1">
        <f t="array" ref="E684">INDEX(C:C,MATCH(MIN(ABS(C:C-D684)),ABS(C:C-D684),0))</f>
        <v>122021</v>
      </c>
      <c r="G684">
        <f ca="1" t="shared" si="97"/>
        <v>231</v>
      </c>
      <c r="L684">
        <v>1</v>
      </c>
      <c r="M684">
        <v>0</v>
      </c>
      <c r="N684">
        <v>0</v>
      </c>
      <c r="O684">
        <v>0</v>
      </c>
      <c r="P684" t="str">
        <f t="shared" ref="P684:P747" si="98">E684&amp;" "&amp;L684&amp;" "&amp;M684&amp;" "&amp;N684&amp;" "&amp;O684</f>
        <v>122021 1 0 0 0</v>
      </c>
      <c r="V684" t="s">
        <v>101</v>
      </c>
    </row>
    <row r="685" spans="1:22">
      <c r="C685">
        <v>15221</v>
      </c>
      <c r="D685">
        <v>122364</v>
      </c>
      <c r="E685" cm="1">
        <f t="array" ref="E685">INDEX(C:C,MATCH(MIN(ABS(C:C-D685)),ABS(C:C-D685),0))</f>
        <v>122367</v>
      </c>
      <c r="G685">
        <f t="shared" si="97"/>
        <v>346</v>
      </c>
      <c r="L685">
        <v>1</v>
      </c>
      <c r="M685">
        <v>0</v>
      </c>
      <c r="N685">
        <v>0</v>
      </c>
      <c r="O685">
        <v>0</v>
      </c>
      <c r="P685" t="str">
        <f t="shared" si="98"/>
        <v>122367 1 0 0 0</v>
      </c>
      <c r="V685" t="s">
        <v>102</v>
      </c>
    </row>
    <row r="686" spans="1:22">
      <c r="C686">
        <v>15244</v>
      </c>
      <c r="D686">
        <v>122716</v>
      </c>
      <c r="E686" cm="1">
        <f t="array" ref="E686">INDEX(C:C,MATCH(MIN(ABS(C:C-D686)),ABS(C:C-D686),0))</f>
        <v>122713</v>
      </c>
      <c r="G686">
        <f t="shared" si="97"/>
        <v>346</v>
      </c>
      <c r="L686">
        <v>0</v>
      </c>
      <c r="M686">
        <v>1</v>
      </c>
      <c r="N686">
        <v>0</v>
      </c>
      <c r="O686">
        <v>0</v>
      </c>
      <c r="P686" t="str">
        <f t="shared" si="98"/>
        <v>122713 0 1 0 0</v>
      </c>
      <c r="V686" t="s">
        <v>103</v>
      </c>
    </row>
    <row r="687" spans="1:22">
      <c r="C687">
        <v>15267</v>
      </c>
      <c r="D687">
        <v>123061</v>
      </c>
      <c r="E687" cm="1">
        <f t="array" ref="E687">INDEX(C:C,MATCH(MIN(ABS(C:C-D687)),ABS(C:C-D687),0))</f>
        <v>123060</v>
      </c>
      <c r="G687">
        <f t="shared" si="97"/>
        <v>347</v>
      </c>
      <c r="L687">
        <v>0</v>
      </c>
      <c r="M687">
        <v>1</v>
      </c>
      <c r="N687">
        <v>0</v>
      </c>
      <c r="O687">
        <v>0</v>
      </c>
      <c r="P687" t="str">
        <f t="shared" si="98"/>
        <v>123060 0 1 0 0</v>
      </c>
      <c r="V687" t="s">
        <v>104</v>
      </c>
    </row>
    <row r="688" spans="1:22">
      <c r="C688">
        <v>15290</v>
      </c>
      <c r="D688">
        <v>123418</v>
      </c>
      <c r="E688" cm="1">
        <f t="array" ref="E688">INDEX(C:C,MATCH(MIN(ABS(C:C-D688)),ABS(C:C-D688),0))</f>
        <v>123429</v>
      </c>
      <c r="G688">
        <f t="shared" si="97"/>
        <v>369</v>
      </c>
      <c r="L688">
        <v>0</v>
      </c>
      <c r="M688">
        <v>1</v>
      </c>
      <c r="N688">
        <v>0</v>
      </c>
      <c r="O688">
        <v>0</v>
      </c>
      <c r="P688" t="str">
        <f t="shared" si="98"/>
        <v>123429 0 1 0 0</v>
      </c>
      <c r="V688" t="s">
        <v>105</v>
      </c>
    </row>
    <row r="689" spans="1:22">
      <c r="C689">
        <v>15313</v>
      </c>
      <c r="D689">
        <v>123626</v>
      </c>
      <c r="E689" cm="1">
        <f t="array" ref="E689">INDEX(C:C,MATCH(MIN(ABS(C:C-D689)),ABS(C:C-D689),0))</f>
        <v>123637</v>
      </c>
      <c r="G689">
        <f t="shared" si="97"/>
        <v>208</v>
      </c>
      <c r="L689">
        <v>0</v>
      </c>
      <c r="M689">
        <v>0</v>
      </c>
      <c r="N689">
        <v>0</v>
      </c>
      <c r="O689">
        <v>1</v>
      </c>
      <c r="P689" t="str">
        <f t="shared" si="98"/>
        <v>123637 0 0 0 1</v>
      </c>
      <c r="V689" t="s">
        <v>106</v>
      </c>
    </row>
    <row r="690" spans="1:22">
      <c r="C690">
        <v>15337</v>
      </c>
      <c r="D690">
        <v>123867</v>
      </c>
      <c r="E690" cm="1">
        <f t="array" ref="E690">INDEX(C:C,MATCH(MIN(ABS(C:C-D690)),ABS(C:C-D690),0))</f>
        <v>123867</v>
      </c>
      <c r="G690">
        <f t="shared" si="97"/>
        <v>230</v>
      </c>
      <c r="L690">
        <v>0</v>
      </c>
      <c r="M690">
        <v>1</v>
      </c>
      <c r="N690">
        <v>0</v>
      </c>
      <c r="O690">
        <v>0</v>
      </c>
      <c r="P690" t="str">
        <f t="shared" si="98"/>
        <v>123867 0 1 0 0</v>
      </c>
      <c r="V690" t="s">
        <v>107</v>
      </c>
    </row>
    <row r="691" spans="1:22">
      <c r="C691">
        <v>15360</v>
      </c>
      <c r="D691">
        <v>124216</v>
      </c>
      <c r="E691" cm="1">
        <f t="array" ref="E691">INDEX(C:C,MATCH(MIN(ABS(C:C-D691)),ABS(C:C-D691),0))</f>
        <v>124213</v>
      </c>
      <c r="G691">
        <f t="shared" si="97"/>
        <v>346</v>
      </c>
      <c r="L691">
        <v>0</v>
      </c>
      <c r="M691">
        <v>1</v>
      </c>
      <c r="N691">
        <v>0</v>
      </c>
      <c r="O691">
        <v>0</v>
      </c>
      <c r="P691" t="str">
        <f t="shared" si="98"/>
        <v>124213 0 1 0 0</v>
      </c>
      <c r="V691" t="s">
        <v>108</v>
      </c>
    </row>
    <row r="692" spans="1:22">
      <c r="C692">
        <v>15383</v>
      </c>
      <c r="D692">
        <v>124556</v>
      </c>
      <c r="E692" cm="1">
        <f t="array" ref="E692">INDEX(C:C,MATCH(MIN(ABS(C:C-D692)),ABS(C:C-D692),0))</f>
        <v>124560</v>
      </c>
      <c r="G692">
        <f t="shared" si="97"/>
        <v>347</v>
      </c>
      <c r="L692">
        <v>1</v>
      </c>
      <c r="M692">
        <v>0</v>
      </c>
      <c r="N692">
        <v>0</v>
      </c>
      <c r="O692">
        <v>0</v>
      </c>
      <c r="P692" t="str">
        <f t="shared" si="98"/>
        <v>124560 1 0 0 0</v>
      </c>
      <c r="V692" t="s">
        <v>109</v>
      </c>
    </row>
    <row r="693" spans="1:22">
      <c r="C693">
        <v>15406</v>
      </c>
      <c r="D693">
        <v>124912</v>
      </c>
      <c r="E693" cm="1">
        <f t="array" ref="E693">INDEX(C:C,MATCH(MIN(ABS(C:C-D693)),ABS(C:C-D693),0))</f>
        <v>124906</v>
      </c>
      <c r="G693">
        <f t="shared" si="97"/>
        <v>346</v>
      </c>
      <c r="L693">
        <v>1</v>
      </c>
      <c r="M693">
        <v>0</v>
      </c>
      <c r="N693">
        <v>0</v>
      </c>
      <c r="O693">
        <v>0</v>
      </c>
      <c r="P693" t="str">
        <f t="shared" si="98"/>
        <v>124906 1 0 0 0</v>
      </c>
      <c r="V693" t="s">
        <v>110</v>
      </c>
    </row>
    <row r="694" spans="1:22">
      <c r="C694">
        <v>15429</v>
      </c>
      <c r="D694">
        <v>125251</v>
      </c>
      <c r="E694" cm="1">
        <f t="array" ref="E694">INDEX(C:C,MATCH(MIN(ABS(C:C-D694)),ABS(C:C-D694),0))</f>
        <v>125252</v>
      </c>
      <c r="G694">
        <f t="shared" si="97"/>
        <v>346</v>
      </c>
      <c r="L694">
        <v>1</v>
      </c>
      <c r="M694">
        <v>0</v>
      </c>
      <c r="N694">
        <v>0</v>
      </c>
      <c r="O694">
        <v>0</v>
      </c>
      <c r="P694" t="str">
        <f t="shared" si="98"/>
        <v>125252 1 0 0 0</v>
      </c>
      <c r="V694" t="s">
        <v>111</v>
      </c>
    </row>
    <row r="695" spans="1:22">
      <c r="C695">
        <v>15452</v>
      </c>
      <c r="D695">
        <v>125482</v>
      </c>
      <c r="E695" cm="1">
        <f t="array" ref="E695">INDEX(C:C,MATCH(MIN(ABS(C:C-D695)),ABS(C:C-D695),0))</f>
        <v>125483</v>
      </c>
      <c r="G695">
        <f t="shared" si="97"/>
        <v>231</v>
      </c>
      <c r="L695">
        <v>0</v>
      </c>
      <c r="M695">
        <v>1</v>
      </c>
      <c r="N695">
        <v>0</v>
      </c>
      <c r="O695">
        <v>0</v>
      </c>
      <c r="P695" t="str">
        <f t="shared" si="98"/>
        <v>125483 0 1 0 0</v>
      </c>
      <c r="V695" t="s">
        <v>112</v>
      </c>
    </row>
    <row r="696" spans="1:22">
      <c r="A696">
        <f>6000/26</f>
        <v>230.769230769231</v>
      </c>
      <c r="C696">
        <v>15475</v>
      </c>
      <c r="D696">
        <v>125704</v>
      </c>
      <c r="E696" cm="1">
        <f t="array" ref="E696">INDEX(C:C,MATCH(MIN(ABS(C:C-D696)),ABS(C:C-D696),0))</f>
        <v>125713</v>
      </c>
      <c r="G696">
        <f t="shared" si="97"/>
        <v>230</v>
      </c>
      <c r="L696">
        <v>1</v>
      </c>
      <c r="M696">
        <v>0</v>
      </c>
      <c r="N696">
        <v>0</v>
      </c>
      <c r="O696">
        <v>0</v>
      </c>
      <c r="P696" t="str">
        <f t="shared" si="98"/>
        <v>125713 1 0 0 0</v>
      </c>
      <c r="V696" t="s">
        <v>113</v>
      </c>
    </row>
    <row r="697" spans="1:22">
      <c r="C697">
        <v>15498</v>
      </c>
      <c r="D697">
        <v>125940</v>
      </c>
      <c r="E697" cm="1">
        <f t="array" ref="E697">INDEX(C:C,MATCH(MIN(ABS(C:C-D697)),ABS(C:C-D697),0))</f>
        <v>125944</v>
      </c>
      <c r="G697">
        <f t="shared" si="97"/>
        <v>231</v>
      </c>
      <c r="L697">
        <v>1</v>
      </c>
      <c r="M697">
        <v>0</v>
      </c>
      <c r="N697">
        <v>0</v>
      </c>
      <c r="O697">
        <v>0</v>
      </c>
      <c r="P697" t="str">
        <f t="shared" si="98"/>
        <v>125944 1 0 0 0</v>
      </c>
      <c r="V697" t="s">
        <v>114</v>
      </c>
    </row>
    <row r="698" spans="1:22">
      <c r="C698">
        <v>15521</v>
      </c>
      <c r="D698">
        <f>ROUND(D697+$A$696,0)</f>
        <v>126171</v>
      </c>
      <c r="E698" cm="1">
        <f t="array" ref="E698">INDEX(C:C,MATCH(MIN(ABS(C:C-D698)),ABS(C:C-D698),0))</f>
        <v>126175</v>
      </c>
      <c r="G698">
        <f t="shared" ref="G698:G761" si="99">E698-E697</f>
        <v>231</v>
      </c>
      <c r="L698">
        <v>1</v>
      </c>
      <c r="M698">
        <v>0</v>
      </c>
      <c r="N698">
        <v>0</v>
      </c>
      <c r="O698">
        <v>0</v>
      </c>
      <c r="P698" t="str">
        <f t="shared" si="98"/>
        <v>126175 1 0 0 0</v>
      </c>
      <c r="V698" t="s">
        <v>115</v>
      </c>
    </row>
    <row r="699" spans="1:22">
      <c r="C699">
        <v>15544</v>
      </c>
      <c r="D699">
        <f>ROUND(D698+$A$696,0)</f>
        <v>126402</v>
      </c>
      <c r="E699" cm="1">
        <f t="array" ref="E699">INDEX(C:C,MATCH(MIN(ABS(C:C-D699)),ABS(C:C-D699),0))</f>
        <v>126406</v>
      </c>
      <c r="G699">
        <f t="shared" si="99"/>
        <v>231</v>
      </c>
      <c r="L699">
        <v>1</v>
      </c>
      <c r="M699">
        <v>0</v>
      </c>
      <c r="N699">
        <v>0</v>
      </c>
      <c r="O699">
        <v>0</v>
      </c>
      <c r="P699" t="str">
        <f t="shared" si="98"/>
        <v>126406 1 0 0 0</v>
      </c>
      <c r="V699" t="s">
        <v>116</v>
      </c>
    </row>
    <row r="700" spans="1:22">
      <c r="C700">
        <v>15567</v>
      </c>
      <c r="D700">
        <f>ROUND(D699+$A$696,0)</f>
        <v>126633</v>
      </c>
      <c r="E700" cm="1">
        <f t="array" ref="E700">INDEX(C:C,MATCH(MIN(ABS(C:C-D700)),ABS(C:C-D700),0))</f>
        <v>126637</v>
      </c>
      <c r="G700">
        <f t="shared" si="99"/>
        <v>231</v>
      </c>
      <c r="L700">
        <v>0</v>
      </c>
      <c r="M700">
        <v>0</v>
      </c>
      <c r="N700">
        <v>0</v>
      </c>
      <c r="O700">
        <v>1</v>
      </c>
      <c r="P700" t="str">
        <f t="shared" si="98"/>
        <v>126637 0 0 0 1</v>
      </c>
      <c r="V700" t="s">
        <v>117</v>
      </c>
    </row>
    <row r="701" spans="1:22">
      <c r="C701">
        <v>15590</v>
      </c>
      <c r="D701">
        <f>ROUND(D700+$A$696/2,0)</f>
        <v>126748</v>
      </c>
      <c r="E701" cm="1">
        <f t="array" ref="E701">INDEX(C:C,MATCH(MIN(ABS(C:C-D701)),ABS(C:C-D701),0))</f>
        <v>126752</v>
      </c>
      <c r="G701">
        <f t="shared" si="99"/>
        <v>115</v>
      </c>
      <c r="L701">
        <v>0</v>
      </c>
      <c r="M701">
        <v>0</v>
      </c>
      <c r="N701">
        <v>0</v>
      </c>
      <c r="O701">
        <v>1</v>
      </c>
      <c r="P701" t="str">
        <f t="shared" si="98"/>
        <v>126752 0 0 0 1</v>
      </c>
      <c r="V701" t="s">
        <v>118</v>
      </c>
    </row>
    <row r="702" spans="1:22">
      <c r="C702">
        <v>15613</v>
      </c>
      <c r="D702">
        <f>ROUND(D701+$A$696/2,0)</f>
        <v>126863</v>
      </c>
      <c r="E702" cm="1">
        <f t="array" ref="E702">INDEX(C:C,MATCH(MIN(ABS(C:C-D702)),ABS(C:C-D702),0))</f>
        <v>126867</v>
      </c>
      <c r="G702">
        <f t="shared" si="99"/>
        <v>115</v>
      </c>
      <c r="L702">
        <v>0</v>
      </c>
      <c r="M702">
        <v>0</v>
      </c>
      <c r="N702">
        <v>0</v>
      </c>
      <c r="O702">
        <v>1</v>
      </c>
      <c r="P702" t="str">
        <f t="shared" si="98"/>
        <v>126867 0 0 0 1</v>
      </c>
      <c r="V702" t="s">
        <v>119</v>
      </c>
    </row>
    <row r="703" spans="1:22">
      <c r="C703">
        <v>15637</v>
      </c>
      <c r="D703">
        <f>ROUND(D702+$A$696,0)</f>
        <v>127094</v>
      </c>
      <c r="E703" cm="1">
        <f t="array" ref="E703">INDEX(C:C,MATCH(MIN(ABS(C:C-D703)),ABS(C:C-D703),0))</f>
        <v>127098</v>
      </c>
      <c r="G703">
        <f t="shared" si="99"/>
        <v>231</v>
      </c>
      <c r="L703">
        <v>1</v>
      </c>
      <c r="M703">
        <v>0</v>
      </c>
      <c r="N703">
        <v>0</v>
      </c>
      <c r="O703">
        <v>0</v>
      </c>
      <c r="P703" t="str">
        <f t="shared" si="98"/>
        <v>127098 1 0 0 0</v>
      </c>
    </row>
    <row r="704" spans="1:22">
      <c r="C704">
        <v>15660</v>
      </c>
      <c r="D704">
        <f>ROUND(D703+$A$696/2,0)</f>
        <v>127209</v>
      </c>
      <c r="E704" cm="1">
        <f t="array" ref="E704">INDEX(C:C,MATCH(MIN(ABS(C:C-D704)),ABS(C:C-D704),0))</f>
        <v>127213</v>
      </c>
      <c r="G704">
        <f t="shared" si="99"/>
        <v>115</v>
      </c>
      <c r="L704">
        <v>0</v>
      </c>
      <c r="M704">
        <v>0</v>
      </c>
      <c r="N704">
        <v>0</v>
      </c>
      <c r="O704">
        <v>1</v>
      </c>
      <c r="P704" t="str">
        <f t="shared" si="98"/>
        <v>127213 0 0 0 1</v>
      </c>
      <c r="V704" t="s">
        <v>120</v>
      </c>
    </row>
    <row r="705" spans="3:22">
      <c r="C705">
        <v>15683</v>
      </c>
      <c r="D705">
        <f>ROUND(D704+$A$696/2,0)</f>
        <v>127324</v>
      </c>
      <c r="E705" cm="1">
        <f t="array" ref="E705">INDEX(C:C,MATCH(MIN(ABS(C:C-D705)),ABS(C:C-D705),0))</f>
        <v>127329</v>
      </c>
      <c r="G705">
        <f t="shared" si="99"/>
        <v>116</v>
      </c>
      <c r="L705">
        <v>1</v>
      </c>
      <c r="M705">
        <v>0</v>
      </c>
      <c r="N705">
        <v>0</v>
      </c>
      <c r="O705">
        <v>0</v>
      </c>
      <c r="P705" t="str">
        <f t="shared" si="98"/>
        <v>127329 1 0 0 0</v>
      </c>
    </row>
    <row r="706" spans="3:22">
      <c r="C706">
        <v>15706</v>
      </c>
      <c r="D706">
        <f>ROUND(D705+$A$696/2,0)</f>
        <v>127439</v>
      </c>
      <c r="E706" cm="1">
        <f t="array" ref="E706">INDEX(C:C,MATCH(MIN(ABS(C:C-D706)),ABS(C:C-D706),0))</f>
        <v>127444</v>
      </c>
      <c r="G706">
        <f t="shared" si="99"/>
        <v>115</v>
      </c>
      <c r="L706">
        <v>0</v>
      </c>
      <c r="M706">
        <v>0</v>
      </c>
      <c r="N706">
        <v>0</v>
      </c>
      <c r="O706">
        <v>1</v>
      </c>
      <c r="P706" t="str">
        <f t="shared" si="98"/>
        <v>127444 0 0 0 1</v>
      </c>
      <c r="V706" t="s">
        <v>121</v>
      </c>
    </row>
    <row r="707" spans="3:22">
      <c r="C707">
        <v>15729</v>
      </c>
      <c r="D707">
        <f>ROUND(D706+$A$696/2,0)</f>
        <v>127554</v>
      </c>
      <c r="E707" cm="1">
        <f t="array" ref="E707">INDEX(C:C,MATCH(MIN(ABS(C:C-D707)),ABS(C:C-D707),0))</f>
        <v>127560</v>
      </c>
      <c r="G707">
        <f t="shared" si="99"/>
        <v>116</v>
      </c>
      <c r="L707">
        <v>1</v>
      </c>
      <c r="M707">
        <v>0</v>
      </c>
      <c r="N707">
        <v>0</v>
      </c>
      <c r="O707">
        <v>0</v>
      </c>
      <c r="P707" t="str">
        <f t="shared" si="98"/>
        <v>127560 1 0 0 0</v>
      </c>
    </row>
    <row r="708" spans="3:22">
      <c r="C708">
        <v>15752</v>
      </c>
      <c r="D708">
        <f>ROUND(D707+$A$696/2,0)</f>
        <v>127669</v>
      </c>
      <c r="E708" cm="1">
        <f t="array" ref="E708">INDEX(C:C,MATCH(MIN(ABS(C:C-D708)),ABS(C:C-D708),0))</f>
        <v>127675</v>
      </c>
      <c r="G708">
        <f t="shared" si="99"/>
        <v>115</v>
      </c>
      <c r="L708">
        <v>0</v>
      </c>
      <c r="M708">
        <v>0</v>
      </c>
      <c r="N708">
        <v>1</v>
      </c>
      <c r="O708">
        <v>0</v>
      </c>
      <c r="P708" t="str">
        <f t="shared" si="98"/>
        <v>127675 0 0 1 0</v>
      </c>
      <c r="V708" t="s">
        <v>122</v>
      </c>
    </row>
    <row r="709" spans="3:22">
      <c r="C709">
        <v>15775</v>
      </c>
      <c r="D709">
        <f t="shared" ref="D709:D716" si="100">ROUND(D708+$A$696/4,0)</f>
        <v>127727</v>
      </c>
      <c r="E709">
        <f t="shared" ref="E709:E716" si="101">ROUND(E708+$A$696/4,0)</f>
        <v>127733</v>
      </c>
      <c r="G709">
        <f t="shared" si="99"/>
        <v>58</v>
      </c>
      <c r="L709">
        <v>0</v>
      </c>
      <c r="M709">
        <v>1</v>
      </c>
      <c r="N709">
        <v>0</v>
      </c>
      <c r="O709">
        <v>0</v>
      </c>
      <c r="P709" t="str">
        <f t="shared" si="98"/>
        <v>127733 0 1 0 0</v>
      </c>
    </row>
    <row r="710" spans="3:22">
      <c r="C710">
        <v>15798</v>
      </c>
      <c r="D710">
        <f t="shared" si="100"/>
        <v>127785</v>
      </c>
      <c r="E710">
        <f t="shared" si="101"/>
        <v>127791</v>
      </c>
      <c r="G710">
        <f t="shared" si="99"/>
        <v>58</v>
      </c>
      <c r="L710">
        <v>0</v>
      </c>
      <c r="M710">
        <v>0</v>
      </c>
      <c r="N710">
        <v>1</v>
      </c>
      <c r="O710">
        <v>0</v>
      </c>
      <c r="P710" t="str">
        <f t="shared" si="98"/>
        <v>127791 0 0 1 0</v>
      </c>
      <c r="V710" t="s">
        <v>123</v>
      </c>
    </row>
    <row r="711" spans="3:22">
      <c r="C711">
        <v>15821</v>
      </c>
      <c r="D711">
        <f t="shared" si="100"/>
        <v>127843</v>
      </c>
      <c r="E711">
        <f t="shared" si="101"/>
        <v>127849</v>
      </c>
      <c r="G711">
        <f t="shared" si="99"/>
        <v>58</v>
      </c>
      <c r="L711">
        <v>0</v>
      </c>
      <c r="M711">
        <v>1</v>
      </c>
      <c r="N711">
        <v>0</v>
      </c>
      <c r="O711">
        <v>0</v>
      </c>
      <c r="P711" t="str">
        <f t="shared" si="98"/>
        <v>127849 0 1 0 0</v>
      </c>
    </row>
    <row r="712" spans="3:22">
      <c r="C712">
        <v>15844</v>
      </c>
      <c r="D712">
        <f t="shared" si="100"/>
        <v>127901</v>
      </c>
      <c r="E712">
        <f t="shared" si="101"/>
        <v>127907</v>
      </c>
      <c r="G712">
        <f t="shared" si="99"/>
        <v>58</v>
      </c>
      <c r="L712">
        <v>0</v>
      </c>
      <c r="M712">
        <v>0</v>
      </c>
      <c r="N712">
        <v>1</v>
      </c>
      <c r="O712">
        <v>0</v>
      </c>
      <c r="P712" t="str">
        <f t="shared" si="98"/>
        <v>127907 0 0 1 0</v>
      </c>
      <c r="V712" t="s">
        <v>124</v>
      </c>
    </row>
    <row r="713" spans="3:22">
      <c r="C713">
        <v>15867</v>
      </c>
      <c r="D713">
        <f t="shared" si="100"/>
        <v>127959</v>
      </c>
      <c r="E713">
        <f t="shared" si="101"/>
        <v>127965</v>
      </c>
      <c r="G713">
        <f t="shared" si="99"/>
        <v>58</v>
      </c>
      <c r="L713">
        <v>0</v>
      </c>
      <c r="M713">
        <v>1</v>
      </c>
      <c r="N713">
        <v>0</v>
      </c>
      <c r="O713">
        <v>0</v>
      </c>
      <c r="P713" t="str">
        <f t="shared" si="98"/>
        <v>127965 0 1 0 0</v>
      </c>
    </row>
    <row r="714" spans="3:22">
      <c r="C714">
        <v>15890</v>
      </c>
      <c r="D714">
        <f t="shared" si="100"/>
        <v>128017</v>
      </c>
      <c r="E714">
        <f t="shared" si="101"/>
        <v>128023</v>
      </c>
      <c r="G714">
        <f t="shared" si="99"/>
        <v>58</v>
      </c>
      <c r="L714">
        <v>0</v>
      </c>
      <c r="M714">
        <v>0</v>
      </c>
      <c r="N714">
        <v>1</v>
      </c>
      <c r="O714">
        <v>0</v>
      </c>
      <c r="P714" t="str">
        <f t="shared" si="98"/>
        <v>128023 0 0 1 0</v>
      </c>
      <c r="V714" t="s">
        <v>125</v>
      </c>
    </row>
    <row r="715" spans="3:22">
      <c r="C715">
        <v>15913</v>
      </c>
      <c r="D715">
        <f t="shared" si="100"/>
        <v>128075</v>
      </c>
      <c r="E715">
        <f t="shared" si="101"/>
        <v>128081</v>
      </c>
      <c r="G715">
        <f t="shared" si="99"/>
        <v>58</v>
      </c>
      <c r="L715">
        <v>0</v>
      </c>
      <c r="M715">
        <v>1</v>
      </c>
      <c r="N715">
        <v>0</v>
      </c>
      <c r="O715">
        <v>0</v>
      </c>
      <c r="P715" t="str">
        <f t="shared" si="98"/>
        <v>128081 0 1 0 0</v>
      </c>
    </row>
    <row r="716" spans="3:22">
      <c r="C716">
        <v>15937</v>
      </c>
      <c r="D716">
        <f t="shared" si="100"/>
        <v>128133</v>
      </c>
      <c r="E716">
        <f t="shared" si="101"/>
        <v>128139</v>
      </c>
      <c r="G716">
        <f t="shared" si="99"/>
        <v>58</v>
      </c>
      <c r="L716">
        <v>0</v>
      </c>
      <c r="M716">
        <v>0</v>
      </c>
      <c r="N716">
        <v>0</v>
      </c>
      <c r="O716">
        <v>1</v>
      </c>
      <c r="P716" t="str">
        <f t="shared" si="98"/>
        <v>128139 0 0 0 1</v>
      </c>
      <c r="V716" t="s">
        <v>126</v>
      </c>
    </row>
    <row r="717" spans="3:22">
      <c r="C717">
        <v>15960</v>
      </c>
      <c r="D717">
        <f t="shared" ref="D717:D723" si="102">ROUND(D716+$A$696/2,0)</f>
        <v>128248</v>
      </c>
      <c r="E717" cm="1">
        <f t="array" ref="E717">INDEX(C:C,MATCH(MIN(ABS(C:C-D717)),ABS(C:C-D717),0))</f>
        <v>128252</v>
      </c>
      <c r="G717">
        <f t="shared" si="99"/>
        <v>113</v>
      </c>
      <c r="L717">
        <v>1</v>
      </c>
      <c r="M717" s="1">
        <v>0</v>
      </c>
      <c r="N717">
        <v>0</v>
      </c>
      <c r="O717">
        <v>0</v>
      </c>
      <c r="P717" t="str">
        <f t="shared" si="98"/>
        <v>128252 1 0 0 0</v>
      </c>
    </row>
    <row r="718" spans="3:22">
      <c r="C718">
        <v>15983</v>
      </c>
      <c r="D718">
        <f t="shared" si="102"/>
        <v>128363</v>
      </c>
      <c r="E718" cm="1">
        <f t="array" ref="E718">INDEX(C:C,MATCH(MIN(ABS(C:C-D718)),ABS(C:C-D718),0))</f>
        <v>128367</v>
      </c>
      <c r="G718">
        <f t="shared" si="99"/>
        <v>115</v>
      </c>
      <c r="L718">
        <v>0</v>
      </c>
      <c r="M718" s="1">
        <v>0</v>
      </c>
      <c r="N718">
        <v>0</v>
      </c>
      <c r="O718">
        <v>1</v>
      </c>
      <c r="P718" t="str">
        <f t="shared" si="98"/>
        <v>128367 0 0 0 1</v>
      </c>
      <c r="V718" t="s">
        <v>127</v>
      </c>
    </row>
    <row r="719" spans="3:22">
      <c r="C719">
        <v>16006</v>
      </c>
      <c r="D719">
        <f t="shared" si="102"/>
        <v>128478</v>
      </c>
      <c r="E719" cm="1">
        <f t="array" ref="E719">INDEX(C:C,MATCH(MIN(ABS(C:C-D719)),ABS(C:C-D719),0))</f>
        <v>128483</v>
      </c>
      <c r="G719">
        <f t="shared" si="99"/>
        <v>116</v>
      </c>
      <c r="L719">
        <v>1</v>
      </c>
      <c r="M719" s="1">
        <v>0</v>
      </c>
      <c r="N719">
        <v>0</v>
      </c>
      <c r="O719">
        <v>0</v>
      </c>
      <c r="P719" t="str">
        <f t="shared" si="98"/>
        <v>128483 1 0 0 0</v>
      </c>
    </row>
    <row r="720" spans="3:22">
      <c r="C720">
        <v>16029</v>
      </c>
      <c r="D720">
        <f t="shared" si="102"/>
        <v>128593</v>
      </c>
      <c r="E720" cm="1">
        <f t="array" ref="E720">INDEX(C:C,MATCH(MIN(ABS(C:C-D720)),ABS(C:C-D720),0))</f>
        <v>128598</v>
      </c>
      <c r="G720">
        <f t="shared" si="99"/>
        <v>115</v>
      </c>
      <c r="L720">
        <v>0</v>
      </c>
      <c r="M720" s="1">
        <v>0</v>
      </c>
      <c r="N720">
        <v>0</v>
      </c>
      <c r="O720">
        <v>1</v>
      </c>
      <c r="P720" t="str">
        <f t="shared" si="98"/>
        <v>128598 0 0 0 1</v>
      </c>
      <c r="V720" t="s">
        <v>128</v>
      </c>
    </row>
    <row r="721" spans="1:22">
      <c r="C721">
        <v>16052</v>
      </c>
      <c r="D721">
        <f t="shared" si="102"/>
        <v>128708</v>
      </c>
      <c r="E721" cm="1">
        <f t="array" ref="E721">INDEX(C:C,MATCH(MIN(ABS(C:C-D721)),ABS(C:C-D721),0))</f>
        <v>128713</v>
      </c>
      <c r="G721">
        <f t="shared" si="99"/>
        <v>115</v>
      </c>
      <c r="L721">
        <v>1</v>
      </c>
      <c r="M721" s="1">
        <v>0</v>
      </c>
      <c r="N721">
        <v>0</v>
      </c>
      <c r="O721">
        <v>0</v>
      </c>
      <c r="P721" t="str">
        <f t="shared" si="98"/>
        <v>128713 1 0 0 0</v>
      </c>
    </row>
    <row r="722" spans="1:22">
      <c r="C722">
        <v>16075</v>
      </c>
      <c r="D722">
        <f t="shared" si="102"/>
        <v>128823</v>
      </c>
      <c r="E722" cm="1">
        <f t="array" ref="E722">INDEX(C:C,MATCH(MIN(ABS(C:C-D722)),ABS(C:C-D722),0))</f>
        <v>128829</v>
      </c>
      <c r="G722">
        <f t="shared" si="99"/>
        <v>116</v>
      </c>
      <c r="L722">
        <v>0</v>
      </c>
      <c r="M722" s="1">
        <v>0</v>
      </c>
      <c r="N722">
        <v>0</v>
      </c>
      <c r="O722">
        <v>1</v>
      </c>
      <c r="P722" t="str">
        <f t="shared" si="98"/>
        <v>128829 0 0 0 1</v>
      </c>
      <c r="V722" t="s">
        <v>129</v>
      </c>
    </row>
    <row r="723" spans="1:22">
      <c r="C723">
        <v>16098</v>
      </c>
      <c r="D723">
        <f t="shared" si="102"/>
        <v>128938</v>
      </c>
      <c r="E723" cm="1">
        <f t="array" ref="E723">INDEX(C:C,MATCH(MIN(ABS(C:C-D723)),ABS(C:C-D723),0))</f>
        <v>128944</v>
      </c>
      <c r="G723">
        <f t="shared" si="99"/>
        <v>115</v>
      </c>
      <c r="L723">
        <v>1</v>
      </c>
      <c r="M723" s="1">
        <v>0</v>
      </c>
      <c r="N723">
        <v>0</v>
      </c>
      <c r="O723">
        <v>0</v>
      </c>
      <c r="P723" t="str">
        <f t="shared" si="98"/>
        <v>128944 1 0 0 0</v>
      </c>
    </row>
    <row r="724" spans="1:22">
      <c r="A724" t="s">
        <v>95</v>
      </c>
      <c r="C724">
        <v>16121</v>
      </c>
      <c r="D724">
        <f>D344+66439</f>
        <v>129381</v>
      </c>
      <c r="E724" cm="1">
        <f t="array" ref="E724">INDEX(C:C,MATCH(MIN(ABS(C:C-D724)),ABS(C:C-D724),0))</f>
        <v>129383</v>
      </c>
      <c r="G724">
        <f t="shared" si="99"/>
        <v>439</v>
      </c>
      <c r="L724">
        <v>1</v>
      </c>
      <c r="M724">
        <v>0</v>
      </c>
      <c r="N724">
        <v>0</v>
      </c>
      <c r="O724">
        <v>0</v>
      </c>
      <c r="P724" t="str">
        <f t="shared" si="98"/>
        <v>129383 1 0 0 0</v>
      </c>
      <c r="R724">
        <v>1</v>
      </c>
      <c r="S724">
        <v>0</v>
      </c>
      <c r="T724">
        <v>0</v>
      </c>
      <c r="U724">
        <v>0</v>
      </c>
      <c r="V724" t="str">
        <f t="shared" ref="V724:V728" si="103">E724&amp;" "&amp;R724&amp;" "&amp;S724&amp;" "&amp;T724&amp;" "&amp;U724</f>
        <v>129383 1 0 0 0</v>
      </c>
    </row>
    <row r="725" spans="1:22">
      <c r="C725">
        <v>16144</v>
      </c>
      <c r="D725">
        <f t="shared" ref="D725:D756" si="104">D345+66439</f>
        <v>129617</v>
      </c>
      <c r="E725" cm="1">
        <f t="array" ref="E725">INDEX(C:C,MATCH(MIN(ABS(C:C-D725)),ABS(C:C-D725),0))</f>
        <v>129613</v>
      </c>
      <c r="G725">
        <f t="shared" si="99"/>
        <v>230</v>
      </c>
      <c r="L725">
        <v>0</v>
      </c>
      <c r="M725">
        <v>1</v>
      </c>
      <c r="N725">
        <v>0</v>
      </c>
      <c r="O725">
        <v>0</v>
      </c>
      <c r="P725" t="str">
        <f t="shared" si="98"/>
        <v>129613 0 1 0 0</v>
      </c>
      <c r="R725">
        <v>0</v>
      </c>
      <c r="S725">
        <v>1</v>
      </c>
      <c r="T725">
        <v>0</v>
      </c>
      <c r="U725">
        <v>0</v>
      </c>
      <c r="V725" t="str">
        <f t="shared" si="103"/>
        <v>129613 0 1 0 0</v>
      </c>
    </row>
    <row r="726" spans="1:22">
      <c r="C726">
        <v>16167</v>
      </c>
      <c r="D726">
        <f t="shared" si="104"/>
        <v>129730</v>
      </c>
      <c r="E726" cm="1">
        <f t="array" ref="E726">INDEX(C:C,MATCH(MIN(ABS(C:C-D726)),ABS(C:C-D726),0))</f>
        <v>129729</v>
      </c>
      <c r="G726">
        <f t="shared" si="99"/>
        <v>116</v>
      </c>
      <c r="L726">
        <v>0</v>
      </c>
      <c r="M726">
        <v>1</v>
      </c>
      <c r="N726">
        <v>0</v>
      </c>
      <c r="O726">
        <v>0</v>
      </c>
      <c r="P726" t="str">
        <f t="shared" si="98"/>
        <v>129729 0 1 0 0</v>
      </c>
      <c r="R726">
        <v>0</v>
      </c>
      <c r="S726">
        <v>1</v>
      </c>
      <c r="T726">
        <v>0</v>
      </c>
      <c r="U726">
        <v>0</v>
      </c>
    </row>
    <row r="727" spans="1:22">
      <c r="C727">
        <v>16190</v>
      </c>
      <c r="D727">
        <f t="shared" si="104"/>
        <v>129837</v>
      </c>
      <c r="E727" cm="1">
        <f t="array" ref="E727">INDEX(C:C,MATCH(MIN(ABS(C:C-D727)),ABS(C:C-D727),0))</f>
        <v>129844</v>
      </c>
      <c r="G727">
        <f t="shared" si="99"/>
        <v>115</v>
      </c>
      <c r="L727">
        <v>0</v>
      </c>
      <c r="M727">
        <v>0</v>
      </c>
      <c r="N727">
        <v>1</v>
      </c>
      <c r="O727">
        <v>0</v>
      </c>
      <c r="P727" t="str">
        <f t="shared" si="98"/>
        <v>129844 0 0 1 0</v>
      </c>
      <c r="R727">
        <v>0</v>
      </c>
      <c r="S727">
        <v>0</v>
      </c>
      <c r="T727">
        <v>1</v>
      </c>
      <c r="U727">
        <v>0</v>
      </c>
      <c r="V727" t="str">
        <f t="shared" si="103"/>
        <v>129844 0 0 1 0</v>
      </c>
    </row>
    <row r="728" spans="1:22">
      <c r="C728">
        <v>16213</v>
      </c>
      <c r="D728">
        <f t="shared" si="104"/>
        <v>129953</v>
      </c>
      <c r="E728" cm="1">
        <f t="array" ref="E728">INDEX(C:C,MATCH(MIN(ABS(C:C-D728)),ABS(C:C-D728),0))</f>
        <v>129960</v>
      </c>
      <c r="G728">
        <f t="shared" si="99"/>
        <v>116</v>
      </c>
      <c r="L728">
        <v>0</v>
      </c>
      <c r="M728">
        <v>1</v>
      </c>
      <c r="N728">
        <v>0</v>
      </c>
      <c r="O728">
        <v>0</v>
      </c>
      <c r="P728" t="str">
        <f t="shared" si="98"/>
        <v>129960 0 1 0 0</v>
      </c>
      <c r="R728">
        <v>0</v>
      </c>
      <c r="S728">
        <v>1</v>
      </c>
      <c r="T728">
        <v>0</v>
      </c>
      <c r="U728">
        <v>0</v>
      </c>
      <c r="V728" t="str">
        <f t="shared" si="103"/>
        <v>129960 0 1 0 0</v>
      </c>
    </row>
    <row r="729" spans="1:22">
      <c r="C729">
        <v>16237</v>
      </c>
      <c r="D729">
        <f t="shared" si="104"/>
        <v>130068</v>
      </c>
      <c r="E729" cm="1">
        <f t="array" ref="E729">INDEX(C:C,MATCH(MIN(ABS(C:C-D729)),ABS(C:C-D729),0))</f>
        <v>130075</v>
      </c>
      <c r="G729">
        <f t="shared" si="99"/>
        <v>115</v>
      </c>
      <c r="L729">
        <v>0</v>
      </c>
      <c r="M729">
        <v>1</v>
      </c>
      <c r="N729">
        <v>0</v>
      </c>
      <c r="O729">
        <v>0</v>
      </c>
      <c r="P729" t="str">
        <f t="shared" si="98"/>
        <v>130075 0 1 0 0</v>
      </c>
      <c r="R729">
        <v>0</v>
      </c>
      <c r="S729">
        <v>1</v>
      </c>
      <c r="T729">
        <v>0</v>
      </c>
      <c r="U729">
        <v>0</v>
      </c>
    </row>
    <row r="730" spans="1:22">
      <c r="C730">
        <v>16260</v>
      </c>
      <c r="D730">
        <f t="shared" si="104"/>
        <v>130299</v>
      </c>
      <c r="E730" cm="1">
        <f t="array" ref="E730">INDEX(C:C,MATCH(MIN(ABS(C:C-D730)),ABS(C:C-D730),0))</f>
        <v>130306</v>
      </c>
      <c r="G730">
        <f t="shared" si="99"/>
        <v>231</v>
      </c>
      <c r="L730">
        <v>0</v>
      </c>
      <c r="M730">
        <v>0</v>
      </c>
      <c r="N730">
        <v>1</v>
      </c>
      <c r="O730">
        <v>0</v>
      </c>
      <c r="P730" t="str">
        <f t="shared" si="98"/>
        <v>130306 0 0 1 0</v>
      </c>
      <c r="R730">
        <v>0</v>
      </c>
      <c r="S730">
        <v>0</v>
      </c>
      <c r="T730">
        <v>1</v>
      </c>
      <c r="U730">
        <v>0</v>
      </c>
      <c r="V730" t="str">
        <f t="shared" ref="V730:V736" si="105">E730&amp;" "&amp;R730&amp;" "&amp;S730&amp;" "&amp;T730&amp;" "&amp;U730</f>
        <v>130306 0 0 1 0</v>
      </c>
    </row>
    <row r="731" spans="1:22">
      <c r="C731">
        <v>16283</v>
      </c>
      <c r="D731">
        <f t="shared" si="104"/>
        <v>130416</v>
      </c>
      <c r="E731" cm="1">
        <f t="array" ref="E731">INDEX(C:C,MATCH(MIN(ABS(C:C-D731)),ABS(C:C-D731),0))</f>
        <v>130421</v>
      </c>
      <c r="G731">
        <f t="shared" si="99"/>
        <v>115</v>
      </c>
      <c r="L731">
        <v>0</v>
      </c>
      <c r="M731">
        <v>1</v>
      </c>
      <c r="N731">
        <v>0</v>
      </c>
      <c r="O731">
        <v>0</v>
      </c>
      <c r="P731" t="str">
        <f t="shared" si="98"/>
        <v>130421 0 1 0 0</v>
      </c>
      <c r="R731">
        <v>0</v>
      </c>
      <c r="S731">
        <v>1</v>
      </c>
      <c r="T731">
        <v>0</v>
      </c>
      <c r="U731">
        <v>0</v>
      </c>
      <c r="V731" t="str">
        <f t="shared" si="105"/>
        <v>130421 0 1 0 0</v>
      </c>
    </row>
    <row r="732" spans="1:22">
      <c r="C732">
        <v>16306</v>
      </c>
      <c r="D732">
        <f t="shared" si="104"/>
        <v>130645</v>
      </c>
      <c r="E732" cm="1">
        <f t="array" ref="E732">INDEX(C:C,MATCH(MIN(ABS(C:C-D732)),ABS(C:C-D732),0))</f>
        <v>130652</v>
      </c>
      <c r="G732">
        <f t="shared" si="99"/>
        <v>231</v>
      </c>
      <c r="L732">
        <v>0</v>
      </c>
      <c r="M732">
        <v>0</v>
      </c>
      <c r="N732">
        <v>1</v>
      </c>
      <c r="O732">
        <v>0</v>
      </c>
      <c r="P732" t="str">
        <f t="shared" si="98"/>
        <v>130652 0 0 1 0</v>
      </c>
      <c r="R732">
        <v>0</v>
      </c>
      <c r="S732">
        <v>0</v>
      </c>
      <c r="T732">
        <v>1</v>
      </c>
      <c r="U732">
        <v>0</v>
      </c>
      <c r="V732" t="str">
        <f t="shared" si="105"/>
        <v>130652 0 0 1 0</v>
      </c>
    </row>
    <row r="733" spans="1:22">
      <c r="C733">
        <v>16329</v>
      </c>
      <c r="D733">
        <f t="shared" si="104"/>
        <v>130763</v>
      </c>
      <c r="E733" cm="1">
        <f t="array" ref="E733">INDEX(C:C,MATCH(MIN(ABS(C:C-D733)),ABS(C:C-D733),0))</f>
        <v>130767</v>
      </c>
      <c r="G733">
        <f t="shared" si="99"/>
        <v>115</v>
      </c>
      <c r="L733">
        <v>0</v>
      </c>
      <c r="M733">
        <v>1</v>
      </c>
      <c r="N733">
        <v>0</v>
      </c>
      <c r="O733">
        <v>0</v>
      </c>
      <c r="P733" t="str">
        <f t="shared" si="98"/>
        <v>130767 0 1 0 0</v>
      </c>
      <c r="R733">
        <v>0</v>
      </c>
      <c r="S733">
        <v>1</v>
      </c>
      <c r="T733">
        <v>0</v>
      </c>
      <c r="U733">
        <v>0</v>
      </c>
      <c r="V733" t="str">
        <f t="shared" si="105"/>
        <v>130767 0 1 0 0</v>
      </c>
    </row>
    <row r="734" spans="1:22">
      <c r="C734">
        <v>16352</v>
      </c>
      <c r="D734">
        <f t="shared" si="104"/>
        <v>131000</v>
      </c>
      <c r="E734" cm="1">
        <f t="array" ref="E734">INDEX(C:C,MATCH(MIN(ABS(C:C-D734)),ABS(C:C-D734),0))</f>
        <v>130998</v>
      </c>
      <c r="G734">
        <f t="shared" si="99"/>
        <v>231</v>
      </c>
      <c r="L734">
        <v>0</v>
      </c>
      <c r="M734">
        <v>0</v>
      </c>
      <c r="N734">
        <v>0</v>
      </c>
      <c r="O734">
        <v>1</v>
      </c>
      <c r="P734" t="str">
        <f t="shared" si="98"/>
        <v>130998 0 0 0 1</v>
      </c>
      <c r="R734">
        <v>0</v>
      </c>
      <c r="S734">
        <v>0</v>
      </c>
      <c r="T734">
        <v>0</v>
      </c>
      <c r="U734">
        <v>1</v>
      </c>
      <c r="V734" t="str">
        <f t="shared" si="105"/>
        <v>130998 0 0 0 1</v>
      </c>
    </row>
    <row r="735" spans="1:22">
      <c r="C735">
        <v>16375</v>
      </c>
      <c r="D735">
        <f t="shared" si="104"/>
        <v>131227</v>
      </c>
      <c r="E735" cm="1">
        <f t="array" ref="E735">INDEX(C:C,MATCH(MIN(ABS(C:C-D735)),ABS(C:C-D735),0))</f>
        <v>131229</v>
      </c>
      <c r="G735">
        <f t="shared" si="99"/>
        <v>231</v>
      </c>
      <c r="L735">
        <v>1</v>
      </c>
      <c r="M735">
        <v>0</v>
      </c>
      <c r="N735">
        <v>0</v>
      </c>
      <c r="O735">
        <v>1</v>
      </c>
      <c r="P735" t="str">
        <f t="shared" si="98"/>
        <v>131229 1 0 0 1</v>
      </c>
      <c r="R735">
        <v>1</v>
      </c>
      <c r="S735">
        <v>0</v>
      </c>
      <c r="T735">
        <v>0</v>
      </c>
      <c r="U735">
        <v>1</v>
      </c>
      <c r="V735" t="str">
        <f t="shared" si="105"/>
        <v>131229 1 0 0 1</v>
      </c>
    </row>
    <row r="736" spans="1:22">
      <c r="C736">
        <v>16398</v>
      </c>
      <c r="D736">
        <f t="shared" si="104"/>
        <v>131463</v>
      </c>
      <c r="E736" cm="1">
        <f t="array" ref="E736">INDEX(C:C,MATCH(MIN(ABS(C:C-D736)),ABS(C:C-D736),0))</f>
        <v>131460</v>
      </c>
      <c r="G736">
        <f t="shared" si="99"/>
        <v>231</v>
      </c>
      <c r="L736">
        <v>0</v>
      </c>
      <c r="M736">
        <v>0</v>
      </c>
      <c r="N736">
        <v>1</v>
      </c>
      <c r="O736">
        <v>0</v>
      </c>
      <c r="P736" t="str">
        <f t="shared" si="98"/>
        <v>131460 0 0 1 0</v>
      </c>
      <c r="R736">
        <v>0</v>
      </c>
      <c r="S736">
        <v>0</v>
      </c>
      <c r="T736">
        <v>1</v>
      </c>
      <c r="U736">
        <v>0</v>
      </c>
      <c r="V736" t="str">
        <f t="shared" si="105"/>
        <v>131460 0 0 1 0</v>
      </c>
    </row>
    <row r="737" spans="3:22">
      <c r="C737">
        <v>16421</v>
      </c>
      <c r="D737">
        <f t="shared" si="104"/>
        <v>131576</v>
      </c>
      <c r="E737" cm="1">
        <f t="array" ref="E737">INDEX(C:C,MATCH(MIN(ABS(C:C-D737)),ABS(C:C-D737),0))</f>
        <v>131575</v>
      </c>
      <c r="G737">
        <f t="shared" si="99"/>
        <v>115</v>
      </c>
      <c r="L737">
        <v>0</v>
      </c>
      <c r="M737">
        <v>0</v>
      </c>
      <c r="N737">
        <v>1</v>
      </c>
      <c r="O737">
        <v>0</v>
      </c>
      <c r="P737" t="str">
        <f t="shared" si="98"/>
        <v>131575 0 0 1 0</v>
      </c>
      <c r="R737">
        <v>0</v>
      </c>
      <c r="S737">
        <v>0</v>
      </c>
      <c r="T737">
        <v>1</v>
      </c>
      <c r="U737">
        <v>0</v>
      </c>
    </row>
    <row r="738" spans="3:22">
      <c r="C738">
        <v>16444</v>
      </c>
      <c r="D738">
        <f t="shared" si="104"/>
        <v>131683</v>
      </c>
      <c r="E738" cm="1">
        <f t="array" ref="E738">INDEX(C:C,MATCH(MIN(ABS(C:C-D738)),ABS(C:C-D738),0))</f>
        <v>131690</v>
      </c>
      <c r="G738">
        <f t="shared" si="99"/>
        <v>115</v>
      </c>
      <c r="L738">
        <v>0</v>
      </c>
      <c r="M738">
        <v>1</v>
      </c>
      <c r="N738">
        <v>0</v>
      </c>
      <c r="O738">
        <v>0</v>
      </c>
      <c r="P738" t="str">
        <f t="shared" si="98"/>
        <v>131690 0 1 0 0</v>
      </c>
      <c r="R738">
        <v>0</v>
      </c>
      <c r="S738">
        <v>1</v>
      </c>
      <c r="T738">
        <v>0</v>
      </c>
      <c r="U738">
        <v>0</v>
      </c>
      <c r="V738" t="str">
        <f t="shared" ref="V738:V747" si="106">E738&amp;" "&amp;R738&amp;" "&amp;S738&amp;" "&amp;T738&amp;" "&amp;U738</f>
        <v>131690 0 1 0 0</v>
      </c>
    </row>
    <row r="739" spans="3:22">
      <c r="C739">
        <v>16467</v>
      </c>
      <c r="D739">
        <f t="shared" si="104"/>
        <v>131799</v>
      </c>
      <c r="E739" cm="1">
        <f t="array" ref="E739">INDEX(C:C,MATCH(MIN(ABS(C:C-D739)),ABS(C:C-D739),0))</f>
        <v>131806</v>
      </c>
      <c r="G739">
        <f t="shared" si="99"/>
        <v>116</v>
      </c>
      <c r="L739">
        <v>0</v>
      </c>
      <c r="M739">
        <v>0</v>
      </c>
      <c r="N739">
        <v>1</v>
      </c>
      <c r="O739">
        <v>0</v>
      </c>
      <c r="P739" t="str">
        <f t="shared" si="98"/>
        <v>131806 0 0 1 0</v>
      </c>
      <c r="R739">
        <v>0</v>
      </c>
      <c r="S739">
        <v>0</v>
      </c>
      <c r="T739">
        <v>1</v>
      </c>
      <c r="U739">
        <v>0</v>
      </c>
      <c r="V739" t="str">
        <f t="shared" si="106"/>
        <v>131806 0 0 1 0</v>
      </c>
    </row>
    <row r="740" spans="3:22">
      <c r="C740">
        <v>16490</v>
      </c>
      <c r="D740">
        <f t="shared" si="104"/>
        <v>131914</v>
      </c>
      <c r="E740" cm="1">
        <f t="array" ref="E740">INDEX(C:C,MATCH(MIN(ABS(C:C-D740)),ABS(C:C-D740),0))</f>
        <v>131921</v>
      </c>
      <c r="G740">
        <f t="shared" si="99"/>
        <v>115</v>
      </c>
      <c r="L740">
        <v>0</v>
      </c>
      <c r="M740">
        <v>0</v>
      </c>
      <c r="N740">
        <v>1</v>
      </c>
      <c r="O740">
        <v>0</v>
      </c>
      <c r="P740" t="str">
        <f t="shared" si="98"/>
        <v>131921 0 0 1 0</v>
      </c>
      <c r="R740">
        <v>0</v>
      </c>
      <c r="S740">
        <v>0</v>
      </c>
      <c r="T740">
        <v>1</v>
      </c>
      <c r="U740">
        <v>0</v>
      </c>
    </row>
    <row r="741" spans="3:22">
      <c r="C741">
        <v>16513</v>
      </c>
      <c r="D741">
        <f t="shared" si="104"/>
        <v>132145</v>
      </c>
      <c r="E741" cm="1">
        <f t="array" ref="E741">INDEX(C:C,MATCH(MIN(ABS(C:C-D741)),ABS(C:C-D741),0))</f>
        <v>132152</v>
      </c>
      <c r="G741">
        <f t="shared" si="99"/>
        <v>231</v>
      </c>
      <c r="L741">
        <v>0</v>
      </c>
      <c r="M741">
        <v>1</v>
      </c>
      <c r="N741">
        <v>0</v>
      </c>
      <c r="O741">
        <v>0</v>
      </c>
      <c r="P741" t="str">
        <f t="shared" si="98"/>
        <v>132152 0 1 0 0</v>
      </c>
      <c r="R741">
        <v>0</v>
      </c>
      <c r="S741">
        <v>1</v>
      </c>
      <c r="T741">
        <v>0</v>
      </c>
      <c r="U741">
        <v>0</v>
      </c>
      <c r="V741" t="str">
        <f t="shared" si="106"/>
        <v>132152 0 1 0 0</v>
      </c>
    </row>
    <row r="742" spans="3:22">
      <c r="C742">
        <v>16537</v>
      </c>
      <c r="D742">
        <f t="shared" si="104"/>
        <v>132262</v>
      </c>
      <c r="E742" cm="1">
        <f t="array" ref="E742">INDEX(C:C,MATCH(MIN(ABS(C:C-D742)),ABS(C:C-D742),0))</f>
        <v>132267</v>
      </c>
      <c r="G742">
        <f t="shared" si="99"/>
        <v>115</v>
      </c>
      <c r="L742">
        <v>0</v>
      </c>
      <c r="M742">
        <v>0</v>
      </c>
      <c r="N742">
        <v>1</v>
      </c>
      <c r="O742">
        <v>0</v>
      </c>
      <c r="P742" t="str">
        <f t="shared" si="98"/>
        <v>132267 0 0 1 0</v>
      </c>
      <c r="R742">
        <v>0</v>
      </c>
      <c r="S742">
        <v>0</v>
      </c>
      <c r="T742">
        <v>1</v>
      </c>
      <c r="U742">
        <v>0</v>
      </c>
      <c r="V742" t="str">
        <f t="shared" si="106"/>
        <v>132267 0 0 1 0</v>
      </c>
    </row>
    <row r="743" spans="3:22">
      <c r="C743">
        <v>16560</v>
      </c>
      <c r="D743">
        <f t="shared" si="104"/>
        <v>132491</v>
      </c>
      <c r="E743" cm="1">
        <f t="array" ref="E743">INDEX(C:C,MATCH(MIN(ABS(C:C-D743)),ABS(C:C-D743),0))</f>
        <v>132498</v>
      </c>
      <c r="G743">
        <f t="shared" si="99"/>
        <v>231</v>
      </c>
      <c r="L743">
        <v>0</v>
      </c>
      <c r="M743">
        <v>1</v>
      </c>
      <c r="N743">
        <v>0</v>
      </c>
      <c r="O743">
        <v>0</v>
      </c>
      <c r="P743" t="str">
        <f t="shared" si="98"/>
        <v>132498 0 1 0 0</v>
      </c>
      <c r="R743">
        <v>0</v>
      </c>
      <c r="S743">
        <v>1</v>
      </c>
      <c r="T743">
        <v>0</v>
      </c>
      <c r="U743">
        <v>0</v>
      </c>
      <c r="V743" t="str">
        <f t="shared" si="106"/>
        <v>132498 0 1 0 0</v>
      </c>
    </row>
    <row r="744" spans="3:22">
      <c r="C744">
        <v>16583</v>
      </c>
      <c r="D744">
        <f t="shared" si="104"/>
        <v>132609</v>
      </c>
      <c r="E744" cm="1">
        <f t="array" ref="E744">INDEX(C:C,MATCH(MIN(ABS(C:C-D744)),ABS(C:C-D744),0))</f>
        <v>132613</v>
      </c>
      <c r="G744">
        <f t="shared" si="99"/>
        <v>115</v>
      </c>
      <c r="L744">
        <v>0</v>
      </c>
      <c r="M744">
        <v>0</v>
      </c>
      <c r="N744">
        <v>1</v>
      </c>
      <c r="O744">
        <v>0</v>
      </c>
      <c r="P744" t="str">
        <f t="shared" si="98"/>
        <v>132613 0 0 1 0</v>
      </c>
      <c r="R744">
        <v>0</v>
      </c>
      <c r="S744">
        <v>0</v>
      </c>
      <c r="T744">
        <v>1</v>
      </c>
      <c r="U744">
        <v>0</v>
      </c>
      <c r="V744" t="str">
        <f t="shared" si="106"/>
        <v>132613 0 0 1 0</v>
      </c>
    </row>
    <row r="745" spans="3:22">
      <c r="C745">
        <v>16606</v>
      </c>
      <c r="D745">
        <f t="shared" si="104"/>
        <v>132846</v>
      </c>
      <c r="E745" cm="1">
        <f t="array" ref="E745">INDEX(C:C,MATCH(MIN(ABS(C:C-D745)),ABS(C:C-D745),0))</f>
        <v>132844</v>
      </c>
      <c r="G745">
        <f t="shared" si="99"/>
        <v>231</v>
      </c>
      <c r="L745">
        <v>1</v>
      </c>
      <c r="M745">
        <v>0</v>
      </c>
      <c r="N745">
        <v>0</v>
      </c>
      <c r="O745">
        <v>0</v>
      </c>
      <c r="P745" t="str">
        <f t="shared" si="98"/>
        <v>132844 1 0 0 0</v>
      </c>
      <c r="R745">
        <v>1</v>
      </c>
      <c r="S745">
        <v>0</v>
      </c>
      <c r="T745">
        <v>0</v>
      </c>
      <c r="U745">
        <v>0</v>
      </c>
      <c r="V745" t="str">
        <f t="shared" si="106"/>
        <v>132844 1 0 0 0</v>
      </c>
    </row>
    <row r="746" spans="3:22">
      <c r="C746">
        <v>16629</v>
      </c>
      <c r="D746">
        <f t="shared" si="104"/>
        <v>133073</v>
      </c>
      <c r="E746" cm="1">
        <f t="array" ref="E746">INDEX(C:C,MATCH(MIN(ABS(C:C-D746)),ABS(C:C-D746),0))</f>
        <v>133075</v>
      </c>
      <c r="G746">
        <f t="shared" si="99"/>
        <v>231</v>
      </c>
      <c r="L746">
        <v>1</v>
      </c>
      <c r="M746">
        <v>0</v>
      </c>
      <c r="N746">
        <v>0</v>
      </c>
      <c r="O746">
        <v>0</v>
      </c>
      <c r="P746" t="str">
        <f t="shared" si="98"/>
        <v>133075 1 0 0 0</v>
      </c>
      <c r="R746">
        <v>1</v>
      </c>
      <c r="S746">
        <v>0</v>
      </c>
      <c r="T746">
        <v>0</v>
      </c>
      <c r="U746">
        <v>0</v>
      </c>
      <c r="V746" t="str">
        <f t="shared" si="106"/>
        <v>133075 1 0 0 0</v>
      </c>
    </row>
    <row r="747" spans="3:22">
      <c r="C747">
        <v>16652</v>
      </c>
      <c r="D747">
        <f t="shared" si="104"/>
        <v>133309</v>
      </c>
      <c r="E747" cm="1">
        <f t="array" ref="E747">INDEX(C:C,MATCH(MIN(ABS(C:C-D747)),ABS(C:C-D747),0))</f>
        <v>133306</v>
      </c>
      <c r="G747">
        <f t="shared" si="99"/>
        <v>231</v>
      </c>
      <c r="L747">
        <v>0</v>
      </c>
      <c r="M747">
        <v>1</v>
      </c>
      <c r="N747">
        <v>0</v>
      </c>
      <c r="O747">
        <v>0</v>
      </c>
      <c r="P747" t="str">
        <f t="shared" si="98"/>
        <v>133306 0 1 0 0</v>
      </c>
      <c r="R747">
        <v>0</v>
      </c>
      <c r="S747">
        <v>1</v>
      </c>
      <c r="T747">
        <v>0</v>
      </c>
      <c r="U747">
        <v>0</v>
      </c>
      <c r="V747" t="str">
        <f t="shared" si="106"/>
        <v>133306 0 1 0 0</v>
      </c>
    </row>
    <row r="748" spans="3:22">
      <c r="C748">
        <v>16675</v>
      </c>
      <c r="D748">
        <f t="shared" si="104"/>
        <v>133422</v>
      </c>
      <c r="E748" cm="1">
        <f t="array" ref="E748">INDEX(C:C,MATCH(MIN(ABS(C:C-D748)),ABS(C:C-D748),0))</f>
        <v>133421</v>
      </c>
      <c r="G748">
        <f t="shared" si="99"/>
        <v>115</v>
      </c>
      <c r="L748">
        <v>0</v>
      </c>
      <c r="M748">
        <v>1</v>
      </c>
      <c r="N748">
        <v>0</v>
      </c>
      <c r="O748">
        <v>0</v>
      </c>
      <c r="P748" t="str">
        <f t="shared" ref="P748:P772" si="107">E748&amp;" "&amp;L748&amp;" "&amp;M748&amp;" "&amp;N748&amp;" "&amp;O748</f>
        <v>133421 0 1 0 0</v>
      </c>
      <c r="R748">
        <v>0</v>
      </c>
      <c r="S748">
        <v>1</v>
      </c>
      <c r="T748">
        <v>0</v>
      </c>
      <c r="U748">
        <v>0</v>
      </c>
    </row>
    <row r="749" spans="3:22">
      <c r="C749">
        <v>16698</v>
      </c>
      <c r="D749">
        <f t="shared" si="104"/>
        <v>133529</v>
      </c>
      <c r="E749" cm="1">
        <f t="array" ref="E749">INDEX(C:C,MATCH(MIN(ABS(C:C-D749)),ABS(C:C-D749),0))</f>
        <v>133537</v>
      </c>
      <c r="G749">
        <f t="shared" si="99"/>
        <v>116</v>
      </c>
      <c r="L749">
        <v>0</v>
      </c>
      <c r="M749">
        <v>0</v>
      </c>
      <c r="N749">
        <v>1</v>
      </c>
      <c r="O749">
        <v>0</v>
      </c>
      <c r="P749" t="str">
        <f t="shared" si="107"/>
        <v>133537 0 0 1 0</v>
      </c>
      <c r="R749">
        <v>0</v>
      </c>
      <c r="S749">
        <v>0</v>
      </c>
      <c r="T749">
        <v>1</v>
      </c>
      <c r="U749">
        <v>0</v>
      </c>
      <c r="V749" t="str">
        <f t="shared" ref="V749:V758" si="108">E749&amp;" "&amp;R749&amp;" "&amp;S749&amp;" "&amp;T749&amp;" "&amp;U749</f>
        <v>133537 0 0 1 0</v>
      </c>
    </row>
    <row r="750" spans="3:22">
      <c r="C750">
        <v>16721</v>
      </c>
      <c r="D750">
        <f t="shared" si="104"/>
        <v>133645</v>
      </c>
      <c r="E750" cm="1">
        <f t="array" ref="E750">INDEX(C:C,MATCH(MIN(ABS(C:C-D750)),ABS(C:C-D750),0))</f>
        <v>133652</v>
      </c>
      <c r="G750">
        <f t="shared" si="99"/>
        <v>115</v>
      </c>
      <c r="L750">
        <v>0</v>
      </c>
      <c r="M750">
        <v>1</v>
      </c>
      <c r="N750">
        <v>0</v>
      </c>
      <c r="O750">
        <v>0</v>
      </c>
      <c r="P750" t="str">
        <f t="shared" si="107"/>
        <v>133652 0 1 0 0</v>
      </c>
      <c r="R750">
        <v>0</v>
      </c>
      <c r="S750">
        <v>1</v>
      </c>
      <c r="T750">
        <v>0</v>
      </c>
      <c r="U750">
        <v>0</v>
      </c>
      <c r="V750" t="str">
        <f t="shared" si="108"/>
        <v>133652 0 1 0 0</v>
      </c>
    </row>
    <row r="751" spans="3:22">
      <c r="C751">
        <v>16744</v>
      </c>
      <c r="D751">
        <f t="shared" si="104"/>
        <v>133760</v>
      </c>
      <c r="E751" cm="1">
        <f t="array" ref="E751">INDEX(C:C,MATCH(MIN(ABS(C:C-D751)),ABS(C:C-D751),0))</f>
        <v>133767</v>
      </c>
      <c r="G751">
        <f t="shared" si="99"/>
        <v>115</v>
      </c>
      <c r="L751">
        <v>0</v>
      </c>
      <c r="M751">
        <v>1</v>
      </c>
      <c r="N751">
        <v>0</v>
      </c>
      <c r="O751">
        <v>0</v>
      </c>
      <c r="P751" t="str">
        <f t="shared" si="107"/>
        <v>133767 0 1 0 0</v>
      </c>
      <c r="R751">
        <v>0</v>
      </c>
      <c r="S751">
        <v>1</v>
      </c>
      <c r="T751">
        <v>0</v>
      </c>
      <c r="U751">
        <v>0</v>
      </c>
    </row>
    <row r="752" spans="3:22">
      <c r="C752">
        <v>16767</v>
      </c>
      <c r="D752">
        <f t="shared" si="104"/>
        <v>133991</v>
      </c>
      <c r="E752" cm="1">
        <f t="array" ref="E752">INDEX(C:C,MATCH(MIN(ABS(C:C-D752)),ABS(C:C-D752),0))</f>
        <v>133998</v>
      </c>
      <c r="G752">
        <f t="shared" si="99"/>
        <v>231</v>
      </c>
      <c r="L752">
        <v>0</v>
      </c>
      <c r="M752">
        <v>0</v>
      </c>
      <c r="N752">
        <v>1</v>
      </c>
      <c r="O752">
        <v>0</v>
      </c>
      <c r="P752" t="str">
        <f t="shared" si="107"/>
        <v>133998 0 0 1 0</v>
      </c>
      <c r="R752">
        <v>0</v>
      </c>
      <c r="S752">
        <v>0</v>
      </c>
      <c r="T752">
        <v>1</v>
      </c>
      <c r="U752">
        <v>0</v>
      </c>
      <c r="V752" t="str">
        <f t="shared" si="108"/>
        <v>133998 0 0 1 0</v>
      </c>
    </row>
    <row r="753" spans="3:22">
      <c r="C753">
        <v>16790</v>
      </c>
      <c r="D753">
        <f t="shared" si="104"/>
        <v>134108</v>
      </c>
      <c r="E753" cm="1">
        <f t="array" ref="E753">INDEX(C:C,MATCH(MIN(ABS(C:C-D753)),ABS(C:C-D753),0))</f>
        <v>134113</v>
      </c>
      <c r="G753">
        <f t="shared" si="99"/>
        <v>115</v>
      </c>
      <c r="L753">
        <v>0</v>
      </c>
      <c r="M753">
        <v>1</v>
      </c>
      <c r="N753">
        <v>0</v>
      </c>
      <c r="O753">
        <v>0</v>
      </c>
      <c r="P753" t="str">
        <f t="shared" si="107"/>
        <v>134113 0 1 0 0</v>
      </c>
      <c r="R753">
        <v>0</v>
      </c>
      <c r="S753">
        <v>1</v>
      </c>
      <c r="T753">
        <v>0</v>
      </c>
      <c r="U753">
        <v>0</v>
      </c>
      <c r="V753" t="str">
        <f t="shared" si="108"/>
        <v>134113 0 1 0 0</v>
      </c>
    </row>
    <row r="754" spans="3:22">
      <c r="C754">
        <v>16813</v>
      </c>
      <c r="D754">
        <f t="shared" si="104"/>
        <v>134337</v>
      </c>
      <c r="E754" cm="1">
        <f t="array" ref="E754">INDEX(C:C,MATCH(MIN(ABS(C:C-D754)),ABS(C:C-D754),0))</f>
        <v>134344</v>
      </c>
      <c r="G754">
        <f t="shared" si="99"/>
        <v>231</v>
      </c>
      <c r="L754">
        <v>0</v>
      </c>
      <c r="M754">
        <v>0</v>
      </c>
      <c r="N754">
        <v>1</v>
      </c>
      <c r="O754">
        <v>0</v>
      </c>
      <c r="P754" t="str">
        <f t="shared" si="107"/>
        <v>134344 0 0 1 0</v>
      </c>
      <c r="R754">
        <v>0</v>
      </c>
      <c r="S754">
        <v>0</v>
      </c>
      <c r="T754">
        <v>1</v>
      </c>
      <c r="U754">
        <v>0</v>
      </c>
      <c r="V754" t="str">
        <f t="shared" si="108"/>
        <v>134344 0 0 1 0</v>
      </c>
    </row>
    <row r="755" spans="3:22">
      <c r="C755">
        <v>16837</v>
      </c>
      <c r="D755">
        <f t="shared" si="104"/>
        <v>134455</v>
      </c>
      <c r="E755" cm="1">
        <f t="array" ref="E755">INDEX(C:C,MATCH(MIN(ABS(C:C-D755)),ABS(C:C-D755),0))</f>
        <v>134460</v>
      </c>
      <c r="G755">
        <f t="shared" si="99"/>
        <v>116</v>
      </c>
      <c r="L755">
        <v>0</v>
      </c>
      <c r="M755">
        <v>1</v>
      </c>
      <c r="N755">
        <v>0</v>
      </c>
      <c r="O755">
        <v>0</v>
      </c>
      <c r="P755" t="str">
        <f t="shared" si="107"/>
        <v>134460 0 1 0 0</v>
      </c>
      <c r="R755">
        <v>0</v>
      </c>
      <c r="S755">
        <v>1</v>
      </c>
      <c r="T755">
        <v>0</v>
      </c>
      <c r="U755">
        <v>0</v>
      </c>
      <c r="V755" t="str">
        <f t="shared" si="108"/>
        <v>134460 0 1 0 0</v>
      </c>
    </row>
    <row r="756" spans="3:22">
      <c r="C756">
        <v>16860</v>
      </c>
      <c r="D756">
        <f t="shared" si="104"/>
        <v>134692</v>
      </c>
      <c r="E756" cm="1">
        <f t="array" ref="E756">INDEX(C:C,MATCH(MIN(ABS(C:C-D756)),ABS(C:C-D756),0))</f>
        <v>134690</v>
      </c>
      <c r="G756">
        <f t="shared" si="99"/>
        <v>230</v>
      </c>
      <c r="L756">
        <v>0</v>
      </c>
      <c r="M756">
        <v>0</v>
      </c>
      <c r="N756">
        <v>0</v>
      </c>
      <c r="O756">
        <v>1</v>
      </c>
      <c r="P756" t="str">
        <f t="shared" si="107"/>
        <v>134690 0 0 0 1</v>
      </c>
      <c r="R756">
        <v>0</v>
      </c>
      <c r="S756">
        <v>0</v>
      </c>
      <c r="T756">
        <v>0</v>
      </c>
      <c r="U756">
        <v>1</v>
      </c>
      <c r="V756" t="str">
        <f t="shared" si="108"/>
        <v>134690 0 0 0 1</v>
      </c>
    </row>
    <row r="757" spans="3:22">
      <c r="C757">
        <v>16883</v>
      </c>
      <c r="D757">
        <f t="shared" ref="D757:D788" si="109">D377+66439</f>
        <v>134919</v>
      </c>
      <c r="E757" cm="1">
        <f t="array" ref="E757">INDEX(C:C,MATCH(MIN(ABS(C:C-D757)),ABS(C:C-D757),0))</f>
        <v>134921</v>
      </c>
      <c r="G757">
        <f t="shared" si="99"/>
        <v>231</v>
      </c>
      <c r="L757">
        <v>1</v>
      </c>
      <c r="M757">
        <v>0</v>
      </c>
      <c r="N757">
        <v>0</v>
      </c>
      <c r="O757">
        <v>1</v>
      </c>
      <c r="P757" t="str">
        <f t="shared" si="107"/>
        <v>134921 1 0 0 1</v>
      </c>
      <c r="R757">
        <v>1</v>
      </c>
      <c r="S757">
        <v>0</v>
      </c>
      <c r="T757">
        <v>0</v>
      </c>
      <c r="U757">
        <v>1</v>
      </c>
      <c r="V757" t="str">
        <f t="shared" si="108"/>
        <v>134921 1 0 0 1</v>
      </c>
    </row>
    <row r="758" spans="3:22">
      <c r="C758">
        <v>16906</v>
      </c>
      <c r="D758">
        <f t="shared" si="109"/>
        <v>135155</v>
      </c>
      <c r="E758" cm="1">
        <f t="array" ref="E758">INDEX(C:C,MATCH(MIN(ABS(C:C-D758)),ABS(C:C-D758),0))</f>
        <v>135152</v>
      </c>
      <c r="G758">
        <f t="shared" si="99"/>
        <v>231</v>
      </c>
      <c r="L758">
        <v>0</v>
      </c>
      <c r="M758">
        <v>0</v>
      </c>
      <c r="N758">
        <v>1</v>
      </c>
      <c r="O758">
        <v>0</v>
      </c>
      <c r="P758" t="str">
        <f t="shared" si="107"/>
        <v>135152 0 0 1 0</v>
      </c>
      <c r="R758">
        <v>0</v>
      </c>
      <c r="S758">
        <v>0</v>
      </c>
      <c r="T758">
        <v>1</v>
      </c>
      <c r="U758">
        <v>0</v>
      </c>
      <c r="V758" t="str">
        <f t="shared" si="108"/>
        <v>135152 0 0 1 0</v>
      </c>
    </row>
    <row r="759" spans="3:22">
      <c r="C759">
        <v>16929</v>
      </c>
      <c r="D759">
        <f t="shared" si="109"/>
        <v>135268</v>
      </c>
      <c r="E759" cm="1">
        <f t="array" ref="E759">INDEX(C:C,MATCH(MIN(ABS(C:C-D759)),ABS(C:C-D759),0))</f>
        <v>135267</v>
      </c>
      <c r="G759">
        <f t="shared" si="99"/>
        <v>115</v>
      </c>
      <c r="L759">
        <v>0</v>
      </c>
      <c r="M759">
        <v>0</v>
      </c>
      <c r="N759">
        <v>1</v>
      </c>
      <c r="O759">
        <v>0</v>
      </c>
      <c r="P759" t="str">
        <f t="shared" si="107"/>
        <v>135267 0 0 1 0</v>
      </c>
      <c r="R759">
        <v>0</v>
      </c>
      <c r="S759">
        <v>0</v>
      </c>
      <c r="T759">
        <v>1</v>
      </c>
      <c r="U759">
        <v>0</v>
      </c>
    </row>
    <row r="760" spans="3:22">
      <c r="C760">
        <v>16952</v>
      </c>
      <c r="D760">
        <f t="shared" si="109"/>
        <v>135375</v>
      </c>
      <c r="E760" cm="1">
        <f t="array" ref="E760">INDEX(C:C,MATCH(MIN(ABS(C:C-D760)),ABS(C:C-D760),0))</f>
        <v>135383</v>
      </c>
      <c r="G760">
        <f t="shared" si="99"/>
        <v>116</v>
      </c>
      <c r="L760">
        <v>0</v>
      </c>
      <c r="M760">
        <v>1</v>
      </c>
      <c r="N760">
        <v>0</v>
      </c>
      <c r="O760">
        <v>0</v>
      </c>
      <c r="P760" t="str">
        <f t="shared" si="107"/>
        <v>135383 0 1 0 0</v>
      </c>
      <c r="R760">
        <v>0</v>
      </c>
      <c r="S760">
        <v>1</v>
      </c>
      <c r="T760">
        <v>0</v>
      </c>
      <c r="U760">
        <v>0</v>
      </c>
      <c r="V760" t="str">
        <f t="shared" ref="V760:V763" si="110">E760&amp;" "&amp;R760&amp;" "&amp;S760&amp;" "&amp;T760&amp;" "&amp;U760</f>
        <v>135383 0 1 0 0</v>
      </c>
    </row>
    <row r="761" spans="3:22">
      <c r="C761">
        <v>16975</v>
      </c>
      <c r="D761">
        <f t="shared" si="109"/>
        <v>135491</v>
      </c>
      <c r="E761" cm="1">
        <f t="array" ref="E761">INDEX(C:C,MATCH(MIN(ABS(C:C-D761)),ABS(C:C-D761),0))</f>
        <v>135498</v>
      </c>
      <c r="G761">
        <f t="shared" si="99"/>
        <v>115</v>
      </c>
      <c r="L761">
        <v>0</v>
      </c>
      <c r="M761">
        <v>0</v>
      </c>
      <c r="N761">
        <v>1</v>
      </c>
      <c r="O761">
        <v>0</v>
      </c>
      <c r="P761" t="str">
        <f t="shared" si="107"/>
        <v>135498 0 0 1 0</v>
      </c>
      <c r="R761">
        <v>0</v>
      </c>
      <c r="S761">
        <v>0</v>
      </c>
      <c r="T761">
        <v>1</v>
      </c>
      <c r="U761">
        <v>0</v>
      </c>
      <c r="V761" t="str">
        <f t="shared" si="110"/>
        <v>135498 0 0 1 0</v>
      </c>
    </row>
    <row r="762" spans="3:22">
      <c r="C762">
        <v>16998</v>
      </c>
      <c r="D762">
        <f t="shared" si="109"/>
        <v>135606</v>
      </c>
      <c r="E762" cm="1">
        <f t="array" ref="E762">INDEX(C:C,MATCH(MIN(ABS(C:C-D762)),ABS(C:C-D762),0))</f>
        <v>135613</v>
      </c>
      <c r="G762">
        <f t="shared" ref="G762:G773" si="111">E762-E761</f>
        <v>115</v>
      </c>
      <c r="L762">
        <v>0</v>
      </c>
      <c r="M762">
        <v>0</v>
      </c>
      <c r="N762">
        <v>1</v>
      </c>
      <c r="O762">
        <v>0</v>
      </c>
      <c r="P762" t="str">
        <f t="shared" si="107"/>
        <v>135613 0 0 1 0</v>
      </c>
      <c r="R762">
        <v>0</v>
      </c>
      <c r="S762">
        <v>0</v>
      </c>
      <c r="T762">
        <v>1</v>
      </c>
      <c r="U762">
        <v>0</v>
      </c>
    </row>
    <row r="763" spans="3:22">
      <c r="C763">
        <v>17021</v>
      </c>
      <c r="D763">
        <f t="shared" si="109"/>
        <v>135837</v>
      </c>
      <c r="E763" cm="1">
        <f t="array" ref="E763">INDEX(C:C,MATCH(MIN(ABS(C:C-D763)),ABS(C:C-D763),0))</f>
        <v>135844</v>
      </c>
      <c r="G763">
        <f t="shared" si="111"/>
        <v>231</v>
      </c>
      <c r="L763">
        <v>0</v>
      </c>
      <c r="M763">
        <v>1</v>
      </c>
      <c r="N763">
        <v>0</v>
      </c>
      <c r="O763">
        <v>0</v>
      </c>
      <c r="P763" t="str">
        <f t="shared" si="107"/>
        <v>135844 0 1 0 0</v>
      </c>
      <c r="R763">
        <v>0</v>
      </c>
      <c r="S763">
        <v>1</v>
      </c>
      <c r="T763">
        <v>0</v>
      </c>
      <c r="U763">
        <v>0</v>
      </c>
      <c r="V763" t="str">
        <f t="shared" si="110"/>
        <v>135844 0 1 0 0</v>
      </c>
    </row>
    <row r="764" spans="3:22">
      <c r="C764">
        <v>17044</v>
      </c>
      <c r="D764">
        <f t="shared" si="109"/>
        <v>135954</v>
      </c>
      <c r="E764" cm="1">
        <f t="array" ref="E764">INDEX(C:C,MATCH(MIN(ABS(C:C-D764)),ABS(C:C-D764),0))</f>
        <v>135960</v>
      </c>
      <c r="G764">
        <f t="shared" si="111"/>
        <v>116</v>
      </c>
      <c r="L764">
        <v>0</v>
      </c>
      <c r="M764">
        <v>1</v>
      </c>
      <c r="N764">
        <v>0</v>
      </c>
      <c r="O764">
        <v>0</v>
      </c>
      <c r="P764" t="str">
        <f t="shared" si="107"/>
        <v>135960 0 1 0 0</v>
      </c>
      <c r="R764">
        <v>0</v>
      </c>
      <c r="S764">
        <v>1</v>
      </c>
      <c r="T764">
        <v>0</v>
      </c>
      <c r="U764">
        <v>0</v>
      </c>
    </row>
    <row r="765" spans="3:22">
      <c r="C765">
        <v>17067</v>
      </c>
      <c r="D765">
        <f t="shared" si="109"/>
        <v>136067</v>
      </c>
      <c r="E765" cm="1">
        <f t="array" ref="E765">INDEX(C:C,MATCH(MIN(ABS(C:C-D765)),ABS(C:C-D765),0))</f>
        <v>136075</v>
      </c>
      <c r="G765">
        <f t="shared" si="111"/>
        <v>115</v>
      </c>
      <c r="L765">
        <v>0</v>
      </c>
      <c r="M765">
        <v>1</v>
      </c>
      <c r="N765">
        <v>0</v>
      </c>
      <c r="O765">
        <v>0</v>
      </c>
      <c r="P765" t="str">
        <f t="shared" si="107"/>
        <v>136075 0 1 0 0</v>
      </c>
      <c r="R765">
        <v>0</v>
      </c>
      <c r="S765">
        <v>1</v>
      </c>
      <c r="T765">
        <v>0</v>
      </c>
      <c r="U765">
        <v>0</v>
      </c>
      <c r="V765" t="str">
        <f t="shared" ref="V765:V770" si="112">E765&amp;" "&amp;R765&amp;" "&amp;S765&amp;" "&amp;T765&amp;" "&amp;U765</f>
        <v>136075 0 1 0 0</v>
      </c>
    </row>
    <row r="766" spans="3:22">
      <c r="C766">
        <v>17090</v>
      </c>
      <c r="D766">
        <f t="shared" si="109"/>
        <v>136186</v>
      </c>
      <c r="E766" cm="1">
        <f t="array" ref="E766">INDEX(C:C,MATCH(MIN(ABS(C:C-D766)),ABS(C:C-D766),0))</f>
        <v>136190</v>
      </c>
      <c r="G766">
        <f t="shared" si="111"/>
        <v>115</v>
      </c>
      <c r="L766">
        <v>0</v>
      </c>
      <c r="M766">
        <v>1</v>
      </c>
      <c r="N766">
        <v>0</v>
      </c>
      <c r="O766">
        <v>0</v>
      </c>
      <c r="P766" t="str">
        <f t="shared" si="107"/>
        <v>136190 0 1 0 0</v>
      </c>
      <c r="R766">
        <v>0</v>
      </c>
      <c r="S766">
        <v>1</v>
      </c>
      <c r="T766">
        <v>0</v>
      </c>
      <c r="U766">
        <v>0</v>
      </c>
    </row>
    <row r="767" spans="3:22">
      <c r="C767">
        <v>17113</v>
      </c>
      <c r="D767">
        <f t="shared" si="109"/>
        <v>136305</v>
      </c>
      <c r="E767" cm="1">
        <f t="array" ref="E767">INDEX(C:C,MATCH(MIN(ABS(C:C-D767)),ABS(C:C-D767),0))</f>
        <v>136306</v>
      </c>
      <c r="G767">
        <f t="shared" si="111"/>
        <v>116</v>
      </c>
      <c r="L767">
        <v>0</v>
      </c>
      <c r="M767">
        <v>0</v>
      </c>
      <c r="N767">
        <v>1</v>
      </c>
      <c r="O767">
        <v>0</v>
      </c>
      <c r="P767" t="str">
        <f t="shared" si="107"/>
        <v>136306 0 0 1 0</v>
      </c>
      <c r="R767">
        <v>0</v>
      </c>
      <c r="S767">
        <v>0</v>
      </c>
      <c r="T767">
        <v>1</v>
      </c>
      <c r="U767">
        <v>0</v>
      </c>
      <c r="V767" t="str">
        <f t="shared" si="112"/>
        <v>136306 0 0 1 0</v>
      </c>
    </row>
    <row r="768" spans="3:22">
      <c r="C768">
        <v>17137</v>
      </c>
      <c r="D768">
        <f t="shared" si="109"/>
        <v>136533</v>
      </c>
      <c r="E768" cm="1">
        <f t="array" ref="E768">INDEX(C:C,MATCH(MIN(ABS(C:C-D768)),ABS(C:C-D768),0))</f>
        <v>136537</v>
      </c>
      <c r="G768">
        <f t="shared" si="111"/>
        <v>231</v>
      </c>
      <c r="L768">
        <v>1</v>
      </c>
      <c r="M768">
        <v>0</v>
      </c>
      <c r="N768">
        <v>0</v>
      </c>
      <c r="O768">
        <v>0</v>
      </c>
      <c r="P768" t="str">
        <f t="shared" si="107"/>
        <v>136537 1 0 0 0</v>
      </c>
      <c r="R768">
        <v>1</v>
      </c>
      <c r="S768">
        <v>0</v>
      </c>
      <c r="T768">
        <v>0</v>
      </c>
      <c r="U768">
        <v>0</v>
      </c>
      <c r="V768" t="str">
        <f t="shared" si="112"/>
        <v>136537 1 0 0 0</v>
      </c>
    </row>
    <row r="769" spans="1:22">
      <c r="A769" t="s">
        <v>96</v>
      </c>
      <c r="C769">
        <v>17160</v>
      </c>
      <c r="D769">
        <f t="shared" si="109"/>
        <v>136766</v>
      </c>
      <c r="E769" cm="1">
        <f t="array" ref="E769">INDEX(C:C,MATCH(MIN(ABS(C:C-D769)),ABS(C:C-D769),0))</f>
        <v>136767</v>
      </c>
      <c r="G769">
        <f t="shared" si="111"/>
        <v>230</v>
      </c>
      <c r="L769" cm="1">
        <f t="array" ref="L769:O813">_xlfn.SORTBY(L724:O768,COLUMN(L724:O768),-1)</f>
        <v>0</v>
      </c>
      <c r="M769">
        <v>0</v>
      </c>
      <c r="N769">
        <v>0</v>
      </c>
      <c r="O769">
        <v>1</v>
      </c>
      <c r="P769" t="str">
        <f t="shared" si="107"/>
        <v>136767 0 0 0 1</v>
      </c>
      <c r="R769">
        <v>0</v>
      </c>
      <c r="S769">
        <v>0</v>
      </c>
      <c r="T769">
        <v>0</v>
      </c>
      <c r="U769">
        <v>1</v>
      </c>
      <c r="V769" t="str">
        <f t="shared" si="112"/>
        <v>136767 0 0 0 1</v>
      </c>
    </row>
    <row r="770" spans="1:22">
      <c r="C770">
        <v>17183</v>
      </c>
      <c r="D770">
        <f t="shared" si="109"/>
        <v>137002</v>
      </c>
      <c r="E770" cm="1">
        <f t="array" ref="E770">INDEX(C:C,MATCH(MIN(ABS(C:C-D770)),ABS(C:C-D770),0))</f>
        <v>136998</v>
      </c>
      <c r="G770">
        <f t="shared" si="111"/>
        <v>231</v>
      </c>
      <c r="L770">
        <v>0</v>
      </c>
      <c r="M770">
        <v>0</v>
      </c>
      <c r="N770">
        <v>1</v>
      </c>
      <c r="O770">
        <v>0</v>
      </c>
      <c r="P770" t="str">
        <f t="shared" si="107"/>
        <v>136998 0 0 1 0</v>
      </c>
      <c r="R770">
        <v>0</v>
      </c>
      <c r="S770">
        <v>0</v>
      </c>
      <c r="T770">
        <v>1</v>
      </c>
      <c r="U770">
        <v>0</v>
      </c>
      <c r="V770" t="str">
        <f t="shared" si="112"/>
        <v>136998 0 0 1 0</v>
      </c>
    </row>
    <row r="771" spans="1:22">
      <c r="C771">
        <v>17206</v>
      </c>
      <c r="D771">
        <f t="shared" si="109"/>
        <v>137115</v>
      </c>
      <c r="E771" cm="1">
        <f t="array" ref="E771">INDEX(C:C,MATCH(MIN(ABS(C:C-D771)),ABS(C:C-D771),0))</f>
        <v>137113</v>
      </c>
      <c r="G771">
        <f t="shared" si="111"/>
        <v>115</v>
      </c>
      <c r="L771">
        <v>0</v>
      </c>
      <c r="M771">
        <v>0</v>
      </c>
      <c r="N771">
        <v>1</v>
      </c>
      <c r="O771">
        <v>0</v>
      </c>
      <c r="P771" t="str">
        <f t="shared" si="107"/>
        <v>137113 0 0 1 0</v>
      </c>
      <c r="R771">
        <v>0</v>
      </c>
      <c r="S771">
        <v>0</v>
      </c>
      <c r="T771">
        <v>1</v>
      </c>
      <c r="U771">
        <v>0</v>
      </c>
    </row>
    <row r="772" spans="1:22">
      <c r="C772">
        <v>17229</v>
      </c>
      <c r="D772">
        <f t="shared" si="109"/>
        <v>137222</v>
      </c>
      <c r="E772" cm="1">
        <f t="array" ref="E772">INDEX(C:C,MATCH(MIN(ABS(C:C-D772)),ABS(C:C-D772),0))</f>
        <v>137229</v>
      </c>
      <c r="G772">
        <f t="shared" si="111"/>
        <v>116</v>
      </c>
      <c r="L772">
        <v>0</v>
      </c>
      <c r="M772">
        <v>1</v>
      </c>
      <c r="N772">
        <v>0</v>
      </c>
      <c r="O772">
        <v>0</v>
      </c>
      <c r="P772" t="str">
        <f t="shared" si="107"/>
        <v>137229 0 1 0 0</v>
      </c>
      <c r="R772">
        <v>0</v>
      </c>
      <c r="S772">
        <v>1</v>
      </c>
      <c r="T772">
        <v>0</v>
      </c>
      <c r="U772">
        <v>0</v>
      </c>
      <c r="V772" t="str">
        <f t="shared" ref="V772:V781" si="113">E772&amp;" "&amp;R772&amp;" "&amp;S772&amp;" "&amp;T772&amp;" "&amp;U772</f>
        <v>137229 0 1 0 0</v>
      </c>
    </row>
    <row r="773" spans="1:22">
      <c r="C773">
        <v>17252</v>
      </c>
      <c r="D773">
        <f t="shared" si="109"/>
        <v>137338</v>
      </c>
      <c r="E773" cm="1">
        <f t="array" ref="E773">INDEX(C:C,MATCH(MIN(ABS(C:C-D773)),ABS(C:C-D773),0))</f>
        <v>137344</v>
      </c>
      <c r="G773">
        <f t="shared" si="111"/>
        <v>115</v>
      </c>
      <c r="L773">
        <v>0</v>
      </c>
      <c r="M773">
        <v>0</v>
      </c>
      <c r="N773">
        <v>1</v>
      </c>
      <c r="O773">
        <v>0</v>
      </c>
      <c r="P773" t="str">
        <f t="shared" ref="P773:P811" si="114">E773&amp;" "&amp;L773&amp;" "&amp;M773&amp;" "&amp;N773&amp;" "&amp;O773</f>
        <v>137344 0 0 1 0</v>
      </c>
      <c r="R773">
        <v>0</v>
      </c>
      <c r="S773">
        <v>0</v>
      </c>
      <c r="T773">
        <v>1</v>
      </c>
      <c r="U773">
        <v>0</v>
      </c>
      <c r="V773" t="str">
        <f t="shared" si="113"/>
        <v>137344 0 0 1 0</v>
      </c>
    </row>
    <row r="774" spans="1:22">
      <c r="C774">
        <v>17275</v>
      </c>
      <c r="D774">
        <f t="shared" si="109"/>
        <v>137453</v>
      </c>
      <c r="E774" cm="1">
        <f t="array" ref="E774">INDEX(C:C,MATCH(MIN(ABS(C:C-D774)),ABS(C:C-D774),0))</f>
        <v>137460</v>
      </c>
      <c r="G774">
        <f t="shared" ref="G773:G825" si="115">E774-E773</f>
        <v>116</v>
      </c>
      <c r="L774">
        <v>0</v>
      </c>
      <c r="M774">
        <v>0</v>
      </c>
      <c r="N774">
        <v>1</v>
      </c>
      <c r="O774">
        <v>0</v>
      </c>
      <c r="P774" t="str">
        <f t="shared" si="114"/>
        <v>137460 0 0 1 0</v>
      </c>
      <c r="R774">
        <v>0</v>
      </c>
      <c r="S774">
        <v>0</v>
      </c>
      <c r="T774">
        <v>1</v>
      </c>
      <c r="U774">
        <v>0</v>
      </c>
    </row>
    <row r="775" spans="1:22">
      <c r="C775">
        <v>17298</v>
      </c>
      <c r="D775">
        <f t="shared" si="109"/>
        <v>137684</v>
      </c>
      <c r="E775" cm="1">
        <f t="array" ref="E775">INDEX(C:C,MATCH(MIN(ABS(C:C-D775)),ABS(C:C-D775),0))</f>
        <v>137690</v>
      </c>
      <c r="G775">
        <f t="shared" si="115"/>
        <v>230</v>
      </c>
      <c r="L775">
        <v>0</v>
      </c>
      <c r="M775">
        <v>1</v>
      </c>
      <c r="N775">
        <v>0</v>
      </c>
      <c r="O775">
        <v>0</v>
      </c>
      <c r="P775" t="str">
        <f t="shared" si="114"/>
        <v>137690 0 1 0 0</v>
      </c>
      <c r="R775">
        <v>0</v>
      </c>
      <c r="S775">
        <v>1</v>
      </c>
      <c r="T775">
        <v>0</v>
      </c>
      <c r="U775">
        <v>0</v>
      </c>
      <c r="V775" t="str">
        <f t="shared" si="113"/>
        <v>137690 0 1 0 0</v>
      </c>
    </row>
    <row r="776" spans="1:22">
      <c r="C776">
        <v>17321</v>
      </c>
      <c r="D776">
        <f t="shared" si="109"/>
        <v>137801</v>
      </c>
      <c r="E776" cm="1">
        <f t="array" ref="E776">INDEX(C:C,MATCH(MIN(ABS(C:C-D776)),ABS(C:C-D776),0))</f>
        <v>137806</v>
      </c>
      <c r="G776">
        <f t="shared" si="115"/>
        <v>116</v>
      </c>
      <c r="L776">
        <v>0</v>
      </c>
      <c r="M776">
        <v>0</v>
      </c>
      <c r="N776">
        <v>1</v>
      </c>
      <c r="O776">
        <v>0</v>
      </c>
      <c r="P776" t="str">
        <f t="shared" si="114"/>
        <v>137806 0 0 1 0</v>
      </c>
      <c r="R776">
        <v>0</v>
      </c>
      <c r="S776">
        <v>0</v>
      </c>
      <c r="T776">
        <v>1</v>
      </c>
      <c r="U776">
        <v>0</v>
      </c>
      <c r="V776" t="str">
        <f t="shared" si="113"/>
        <v>137806 0 0 1 0</v>
      </c>
    </row>
    <row r="777" spans="1:22">
      <c r="C777">
        <v>17344</v>
      </c>
      <c r="D777">
        <f t="shared" si="109"/>
        <v>138030</v>
      </c>
      <c r="E777" cm="1">
        <f t="array" ref="E777">INDEX(C:C,MATCH(MIN(ABS(C:C-D777)),ABS(C:C-D777),0))</f>
        <v>138037</v>
      </c>
      <c r="G777">
        <f t="shared" si="115"/>
        <v>231</v>
      </c>
      <c r="L777">
        <v>0</v>
      </c>
      <c r="M777">
        <v>1</v>
      </c>
      <c r="N777">
        <v>0</v>
      </c>
      <c r="O777">
        <v>0</v>
      </c>
      <c r="P777" t="str">
        <f t="shared" si="114"/>
        <v>138037 0 1 0 0</v>
      </c>
      <c r="R777">
        <v>0</v>
      </c>
      <c r="S777">
        <v>1</v>
      </c>
      <c r="T777">
        <v>0</v>
      </c>
      <c r="U777">
        <v>0</v>
      </c>
      <c r="V777" t="str">
        <f t="shared" si="113"/>
        <v>138037 0 1 0 0</v>
      </c>
    </row>
    <row r="778" spans="1:22">
      <c r="C778">
        <v>17367</v>
      </c>
      <c r="D778">
        <f t="shared" si="109"/>
        <v>138148</v>
      </c>
      <c r="E778" cm="1">
        <f t="array" ref="E778">INDEX(C:C,MATCH(MIN(ABS(C:C-D778)),ABS(C:C-D778),0))</f>
        <v>138152</v>
      </c>
      <c r="G778">
        <f t="shared" si="115"/>
        <v>115</v>
      </c>
      <c r="L778">
        <v>0</v>
      </c>
      <c r="M778">
        <v>0</v>
      </c>
      <c r="N778">
        <v>1</v>
      </c>
      <c r="O778">
        <v>0</v>
      </c>
      <c r="P778" t="str">
        <f t="shared" si="114"/>
        <v>138152 0 0 1 0</v>
      </c>
      <c r="R778">
        <v>0</v>
      </c>
      <c r="S778">
        <v>0</v>
      </c>
      <c r="T778">
        <v>1</v>
      </c>
      <c r="U778">
        <v>0</v>
      </c>
      <c r="V778" t="str">
        <f t="shared" si="113"/>
        <v>138152 0 0 1 0</v>
      </c>
    </row>
    <row r="779" spans="1:22">
      <c r="C779">
        <v>17390</v>
      </c>
      <c r="D779">
        <f t="shared" si="109"/>
        <v>138385</v>
      </c>
      <c r="E779" cm="1">
        <f t="array" ref="E779">INDEX(C:C,MATCH(MIN(ABS(C:C-D779)),ABS(C:C-D779),0))</f>
        <v>138383</v>
      </c>
      <c r="G779">
        <f t="shared" si="115"/>
        <v>231</v>
      </c>
      <c r="L779">
        <v>1</v>
      </c>
      <c r="M779">
        <v>0</v>
      </c>
      <c r="N779">
        <v>0</v>
      </c>
      <c r="O779">
        <v>0</v>
      </c>
      <c r="P779" t="str">
        <f t="shared" si="114"/>
        <v>138383 1 0 0 0</v>
      </c>
      <c r="R779">
        <v>1</v>
      </c>
      <c r="S779">
        <v>0</v>
      </c>
      <c r="T779">
        <v>0</v>
      </c>
      <c r="U779">
        <v>0</v>
      </c>
      <c r="V779" t="str">
        <f t="shared" si="113"/>
        <v>138383 1 0 0 0</v>
      </c>
    </row>
    <row r="780" spans="1:22">
      <c r="C780">
        <v>17413</v>
      </c>
      <c r="D780">
        <f t="shared" si="109"/>
        <v>138612</v>
      </c>
      <c r="E780" cm="1">
        <f t="array" ref="E780">INDEX(C:C,MATCH(MIN(ABS(C:C-D780)),ABS(C:C-D780),0))</f>
        <v>138613</v>
      </c>
      <c r="G780">
        <f t="shared" si="115"/>
        <v>230</v>
      </c>
      <c r="L780">
        <v>1</v>
      </c>
      <c r="M780">
        <v>0</v>
      </c>
      <c r="N780">
        <v>0</v>
      </c>
      <c r="O780">
        <v>1</v>
      </c>
      <c r="P780" t="str">
        <f t="shared" si="114"/>
        <v>138613 1 0 0 1</v>
      </c>
      <c r="R780">
        <v>1</v>
      </c>
      <c r="S780">
        <v>0</v>
      </c>
      <c r="T780">
        <v>0</v>
      </c>
      <c r="U780">
        <v>1</v>
      </c>
      <c r="V780" t="str">
        <f t="shared" si="113"/>
        <v>138613 1 0 0 1</v>
      </c>
    </row>
    <row r="781" spans="1:22">
      <c r="C781">
        <v>17437</v>
      </c>
      <c r="D781">
        <f t="shared" si="109"/>
        <v>138848</v>
      </c>
      <c r="E781" cm="1">
        <f t="array" ref="E781">INDEX(C:C,MATCH(MIN(ABS(C:C-D781)),ABS(C:C-D781),0))</f>
        <v>138844</v>
      </c>
      <c r="G781">
        <f t="shared" si="115"/>
        <v>231</v>
      </c>
      <c r="L781">
        <v>0</v>
      </c>
      <c r="M781">
        <v>1</v>
      </c>
      <c r="N781">
        <v>0</v>
      </c>
      <c r="O781">
        <v>0</v>
      </c>
      <c r="P781" t="str">
        <f t="shared" si="114"/>
        <v>138844 0 1 0 0</v>
      </c>
      <c r="R781">
        <v>0</v>
      </c>
      <c r="S781">
        <v>1</v>
      </c>
      <c r="T781">
        <v>0</v>
      </c>
      <c r="U781">
        <v>0</v>
      </c>
      <c r="V781" t="str">
        <f t="shared" si="113"/>
        <v>138844 0 1 0 0</v>
      </c>
    </row>
    <row r="782" spans="1:22">
      <c r="C782">
        <v>17460</v>
      </c>
      <c r="D782">
        <f t="shared" si="109"/>
        <v>138961</v>
      </c>
      <c r="E782" cm="1">
        <f t="array" ref="E782">INDEX(C:C,MATCH(MIN(ABS(C:C-D782)),ABS(C:C-D782),0))</f>
        <v>138960</v>
      </c>
      <c r="G782">
        <f t="shared" si="115"/>
        <v>116</v>
      </c>
      <c r="L782">
        <v>0</v>
      </c>
      <c r="M782">
        <v>1</v>
      </c>
      <c r="N782">
        <v>0</v>
      </c>
      <c r="O782">
        <v>0</v>
      </c>
      <c r="P782" t="str">
        <f t="shared" si="114"/>
        <v>138960 0 1 0 0</v>
      </c>
      <c r="R782">
        <v>0</v>
      </c>
      <c r="S782">
        <v>1</v>
      </c>
      <c r="T782">
        <v>0</v>
      </c>
      <c r="U782">
        <v>0</v>
      </c>
    </row>
    <row r="783" spans="1:22">
      <c r="C783">
        <v>17483</v>
      </c>
      <c r="D783">
        <f t="shared" si="109"/>
        <v>139068</v>
      </c>
      <c r="E783" cm="1">
        <f t="array" ref="E783">INDEX(C:C,MATCH(MIN(ABS(C:C-D783)),ABS(C:C-D783),0))</f>
        <v>139075</v>
      </c>
      <c r="G783">
        <f t="shared" si="115"/>
        <v>115</v>
      </c>
      <c r="L783">
        <v>0</v>
      </c>
      <c r="M783">
        <v>0</v>
      </c>
      <c r="N783">
        <v>1</v>
      </c>
      <c r="O783">
        <v>0</v>
      </c>
      <c r="P783" t="str">
        <f t="shared" si="114"/>
        <v>139075 0 0 1 0</v>
      </c>
      <c r="R783">
        <v>0</v>
      </c>
      <c r="S783">
        <v>0</v>
      </c>
      <c r="T783">
        <v>1</v>
      </c>
      <c r="U783">
        <v>0</v>
      </c>
      <c r="V783" t="str">
        <f t="shared" ref="V783:V792" si="116">E783&amp;" "&amp;R783&amp;" "&amp;S783&amp;" "&amp;T783&amp;" "&amp;U783</f>
        <v>139075 0 0 1 0</v>
      </c>
    </row>
    <row r="784" spans="1:22">
      <c r="C784">
        <v>17506</v>
      </c>
      <c r="D784">
        <f t="shared" si="109"/>
        <v>139184</v>
      </c>
      <c r="E784" cm="1">
        <f t="array" ref="E784">INDEX(C:C,MATCH(MIN(ABS(C:C-D784)),ABS(C:C-D784),0))</f>
        <v>139190</v>
      </c>
      <c r="G784">
        <f t="shared" si="115"/>
        <v>115</v>
      </c>
      <c r="L784">
        <v>0</v>
      </c>
      <c r="M784">
        <v>1</v>
      </c>
      <c r="N784">
        <v>0</v>
      </c>
      <c r="O784">
        <v>0</v>
      </c>
      <c r="P784" t="str">
        <f t="shared" si="114"/>
        <v>139190 0 1 0 0</v>
      </c>
      <c r="R784">
        <v>0</v>
      </c>
      <c r="S784">
        <v>1</v>
      </c>
      <c r="T784">
        <v>0</v>
      </c>
      <c r="U784">
        <v>0</v>
      </c>
      <c r="V784" t="str">
        <f t="shared" si="116"/>
        <v>139190 0 1 0 0</v>
      </c>
    </row>
    <row r="785" spans="3:22">
      <c r="C785">
        <v>17529</v>
      </c>
      <c r="D785">
        <f t="shared" si="109"/>
        <v>139299</v>
      </c>
      <c r="E785" cm="1">
        <f t="array" ref="E785">INDEX(C:C,MATCH(MIN(ABS(C:C-D785)),ABS(C:C-D785),0))</f>
        <v>139306</v>
      </c>
      <c r="G785">
        <f t="shared" si="115"/>
        <v>116</v>
      </c>
      <c r="L785">
        <v>0</v>
      </c>
      <c r="M785">
        <v>1</v>
      </c>
      <c r="N785">
        <v>0</v>
      </c>
      <c r="O785">
        <v>0</v>
      </c>
      <c r="P785" t="str">
        <f t="shared" si="114"/>
        <v>139306 0 1 0 0</v>
      </c>
      <c r="R785">
        <v>0</v>
      </c>
      <c r="S785">
        <v>1</v>
      </c>
      <c r="T785">
        <v>0</v>
      </c>
      <c r="U785">
        <v>0</v>
      </c>
    </row>
    <row r="786" spans="3:22">
      <c r="C786">
        <v>17552</v>
      </c>
      <c r="D786">
        <f t="shared" si="109"/>
        <v>139530</v>
      </c>
      <c r="E786" cm="1">
        <f t="array" ref="E786">INDEX(C:C,MATCH(MIN(ABS(C:C-D786)),ABS(C:C-D786),0))</f>
        <v>139537</v>
      </c>
      <c r="G786">
        <f t="shared" si="115"/>
        <v>231</v>
      </c>
      <c r="L786">
        <v>0</v>
      </c>
      <c r="M786">
        <v>0</v>
      </c>
      <c r="N786">
        <v>1</v>
      </c>
      <c r="O786">
        <v>0</v>
      </c>
      <c r="P786" t="str">
        <f t="shared" si="114"/>
        <v>139537 0 0 1 0</v>
      </c>
      <c r="R786">
        <v>0</v>
      </c>
      <c r="S786">
        <v>0</v>
      </c>
      <c r="T786">
        <v>1</v>
      </c>
      <c r="U786">
        <v>0</v>
      </c>
      <c r="V786" t="str">
        <f t="shared" si="116"/>
        <v>139537 0 0 1 0</v>
      </c>
    </row>
    <row r="787" spans="3:22">
      <c r="C787">
        <v>17575</v>
      </c>
      <c r="D787">
        <f t="shared" si="109"/>
        <v>139647</v>
      </c>
      <c r="E787" cm="1">
        <f t="array" ref="E787">INDEX(C:C,MATCH(MIN(ABS(C:C-D787)),ABS(C:C-D787),0))</f>
        <v>139652</v>
      </c>
      <c r="G787">
        <f t="shared" si="115"/>
        <v>115</v>
      </c>
      <c r="L787">
        <v>0</v>
      </c>
      <c r="M787">
        <v>1</v>
      </c>
      <c r="N787">
        <v>0</v>
      </c>
      <c r="O787">
        <v>0</v>
      </c>
      <c r="P787" t="str">
        <f t="shared" si="114"/>
        <v>139652 0 1 0 0</v>
      </c>
      <c r="R787">
        <v>0</v>
      </c>
      <c r="S787">
        <v>1</v>
      </c>
      <c r="T787">
        <v>0</v>
      </c>
      <c r="U787">
        <v>0</v>
      </c>
      <c r="V787" t="str">
        <f t="shared" si="116"/>
        <v>139652 0 1 0 0</v>
      </c>
    </row>
    <row r="788" spans="3:22">
      <c r="C788">
        <v>17598</v>
      </c>
      <c r="D788">
        <f t="shared" si="109"/>
        <v>139876</v>
      </c>
      <c r="E788" cm="1">
        <f t="array" ref="E788">INDEX(C:C,MATCH(MIN(ABS(C:C-D788)),ABS(C:C-D788),0))</f>
        <v>139883</v>
      </c>
      <c r="G788">
        <f t="shared" si="115"/>
        <v>231</v>
      </c>
      <c r="L788">
        <v>0</v>
      </c>
      <c r="M788">
        <v>0</v>
      </c>
      <c r="N788">
        <v>1</v>
      </c>
      <c r="O788">
        <v>0</v>
      </c>
      <c r="P788" t="str">
        <f t="shared" si="114"/>
        <v>139883 0 0 1 0</v>
      </c>
      <c r="R788">
        <v>0</v>
      </c>
      <c r="S788">
        <v>0</v>
      </c>
      <c r="T788">
        <v>1</v>
      </c>
      <c r="U788">
        <v>0</v>
      </c>
      <c r="V788" t="str">
        <f t="shared" si="116"/>
        <v>139883 0 0 1 0</v>
      </c>
    </row>
    <row r="789" spans="3:22">
      <c r="C789">
        <v>17621</v>
      </c>
      <c r="D789">
        <f t="shared" ref="D789:D820" si="117">D409+66439</f>
        <v>139994</v>
      </c>
      <c r="E789" cm="1">
        <f t="array" ref="E789">INDEX(C:C,MATCH(MIN(ABS(C:C-D789)),ABS(C:C-D789),0))</f>
        <v>139998</v>
      </c>
      <c r="G789">
        <f t="shared" si="115"/>
        <v>115</v>
      </c>
      <c r="L789">
        <v>0</v>
      </c>
      <c r="M789">
        <v>1</v>
      </c>
      <c r="N789">
        <v>0</v>
      </c>
      <c r="O789">
        <v>0</v>
      </c>
      <c r="P789" t="str">
        <f t="shared" si="114"/>
        <v>139998 0 1 0 0</v>
      </c>
      <c r="R789">
        <v>0</v>
      </c>
      <c r="S789">
        <v>1</v>
      </c>
      <c r="T789">
        <v>0</v>
      </c>
      <c r="U789">
        <v>0</v>
      </c>
      <c r="V789" t="str">
        <f t="shared" si="116"/>
        <v>139998 0 1 0 0</v>
      </c>
    </row>
    <row r="790" spans="3:22">
      <c r="C790">
        <v>17644</v>
      </c>
      <c r="D790">
        <f t="shared" si="117"/>
        <v>140231</v>
      </c>
      <c r="E790" cm="1">
        <f t="array" ref="E790">INDEX(C:C,MATCH(MIN(ABS(C:C-D790)),ABS(C:C-D790),0))</f>
        <v>140229</v>
      </c>
      <c r="G790">
        <f t="shared" si="115"/>
        <v>231</v>
      </c>
      <c r="L790">
        <v>0</v>
      </c>
      <c r="M790">
        <v>0</v>
      </c>
      <c r="N790">
        <v>0</v>
      </c>
      <c r="O790">
        <v>1</v>
      </c>
      <c r="P790" t="str">
        <f t="shared" si="114"/>
        <v>140229 0 0 0 1</v>
      </c>
      <c r="R790">
        <v>0</v>
      </c>
      <c r="S790">
        <v>0</v>
      </c>
      <c r="T790">
        <v>0</v>
      </c>
      <c r="U790">
        <v>1</v>
      </c>
      <c r="V790" t="str">
        <f t="shared" si="116"/>
        <v>140229 0 0 0 1</v>
      </c>
    </row>
    <row r="791" spans="3:22">
      <c r="C791">
        <v>17667</v>
      </c>
      <c r="D791">
        <f t="shared" si="117"/>
        <v>140458</v>
      </c>
      <c r="E791" cm="1">
        <f t="array" ref="E791">INDEX(C:C,MATCH(MIN(ABS(C:C-D791)),ABS(C:C-D791),0))</f>
        <v>140460</v>
      </c>
      <c r="G791">
        <f t="shared" si="115"/>
        <v>231</v>
      </c>
      <c r="L791">
        <v>0</v>
      </c>
      <c r="M791">
        <v>0</v>
      </c>
      <c r="N791">
        <v>0</v>
      </c>
      <c r="O791">
        <v>1</v>
      </c>
      <c r="P791" t="str">
        <f t="shared" si="114"/>
        <v>140460 0 0 0 1</v>
      </c>
      <c r="R791">
        <v>0</v>
      </c>
      <c r="S791">
        <v>0</v>
      </c>
      <c r="T791">
        <v>0</v>
      </c>
      <c r="U791">
        <v>1</v>
      </c>
      <c r="V791" t="str">
        <f t="shared" si="116"/>
        <v>140460 0 0 0 1</v>
      </c>
    </row>
    <row r="792" spans="3:22">
      <c r="C792">
        <v>17690</v>
      </c>
      <c r="D792">
        <f t="shared" si="117"/>
        <v>140694</v>
      </c>
      <c r="E792" cm="1">
        <f t="array" ref="E792">INDEX(C:C,MATCH(MIN(ABS(C:C-D792)),ABS(C:C-D792),0))</f>
        <v>140690</v>
      </c>
      <c r="G792">
        <f t="shared" si="115"/>
        <v>230</v>
      </c>
      <c r="L792">
        <v>0</v>
      </c>
      <c r="M792">
        <v>0</v>
      </c>
      <c r="N792">
        <v>1</v>
      </c>
      <c r="O792">
        <v>0</v>
      </c>
      <c r="P792" t="str">
        <f t="shared" si="114"/>
        <v>140690 0 0 1 0</v>
      </c>
      <c r="R792">
        <v>0</v>
      </c>
      <c r="S792">
        <v>0</v>
      </c>
      <c r="T792">
        <v>1</v>
      </c>
      <c r="U792">
        <v>0</v>
      </c>
      <c r="V792" t="str">
        <f t="shared" si="116"/>
        <v>140690 0 0 1 0</v>
      </c>
    </row>
    <row r="793" spans="3:22">
      <c r="C793">
        <v>17713</v>
      </c>
      <c r="D793">
        <f t="shared" si="117"/>
        <v>140807</v>
      </c>
      <c r="E793" cm="1">
        <f t="array" ref="E793">INDEX(C:C,MATCH(MIN(ABS(C:C-D793)),ABS(C:C-D793),0))</f>
        <v>140806</v>
      </c>
      <c r="G793">
        <f t="shared" si="115"/>
        <v>116</v>
      </c>
      <c r="L793">
        <v>0</v>
      </c>
      <c r="M793">
        <v>0</v>
      </c>
      <c r="N793">
        <v>1</v>
      </c>
      <c r="O793">
        <v>0</v>
      </c>
      <c r="P793" t="str">
        <f t="shared" si="114"/>
        <v>140806 0 0 1 0</v>
      </c>
      <c r="R793">
        <v>0</v>
      </c>
      <c r="S793">
        <v>0</v>
      </c>
      <c r="T793">
        <v>1</v>
      </c>
      <c r="U793">
        <v>0</v>
      </c>
    </row>
    <row r="794" spans="3:22">
      <c r="C794">
        <v>17737</v>
      </c>
      <c r="D794">
        <f t="shared" si="117"/>
        <v>140914</v>
      </c>
      <c r="E794" cm="1">
        <f t="array" ref="E794">INDEX(C:C,MATCH(MIN(ABS(C:C-D794)),ABS(C:C-D794),0))</f>
        <v>140921</v>
      </c>
      <c r="G794">
        <f t="shared" si="115"/>
        <v>115</v>
      </c>
      <c r="L794">
        <v>0</v>
      </c>
      <c r="M794">
        <v>1</v>
      </c>
      <c r="N794">
        <v>0</v>
      </c>
      <c r="O794">
        <v>0</v>
      </c>
      <c r="P794" t="str">
        <f t="shared" si="114"/>
        <v>140921 0 1 0 0</v>
      </c>
      <c r="R794">
        <v>0</v>
      </c>
      <c r="S794">
        <v>1</v>
      </c>
      <c r="T794">
        <v>0</v>
      </c>
      <c r="U794">
        <v>0</v>
      </c>
      <c r="V794" t="str">
        <f t="shared" ref="V794:V803" si="118">E794&amp;" "&amp;R794&amp;" "&amp;S794&amp;" "&amp;T794&amp;" "&amp;U794</f>
        <v>140921 0 1 0 0</v>
      </c>
    </row>
    <row r="795" spans="3:22">
      <c r="C795">
        <v>17760</v>
      </c>
      <c r="D795">
        <f t="shared" si="117"/>
        <v>141030</v>
      </c>
      <c r="E795" cm="1">
        <f t="array" ref="E795">INDEX(C:C,MATCH(MIN(ABS(C:C-D795)),ABS(C:C-D795),0))</f>
        <v>141037</v>
      </c>
      <c r="G795">
        <f t="shared" si="115"/>
        <v>116</v>
      </c>
      <c r="L795">
        <v>0</v>
      </c>
      <c r="M795">
        <v>0</v>
      </c>
      <c r="N795">
        <v>1</v>
      </c>
      <c r="O795">
        <v>0</v>
      </c>
      <c r="P795" t="str">
        <f t="shared" si="114"/>
        <v>141037 0 0 1 0</v>
      </c>
      <c r="R795">
        <v>0</v>
      </c>
      <c r="S795">
        <v>0</v>
      </c>
      <c r="T795">
        <v>1</v>
      </c>
      <c r="U795">
        <v>0</v>
      </c>
      <c r="V795" t="str">
        <f t="shared" si="118"/>
        <v>141037 0 0 1 0</v>
      </c>
    </row>
    <row r="796" spans="3:22">
      <c r="C796">
        <v>17783</v>
      </c>
      <c r="D796">
        <f t="shared" si="117"/>
        <v>141145</v>
      </c>
      <c r="E796" cm="1">
        <f t="array" ref="E796">INDEX(C:C,MATCH(MIN(ABS(C:C-D796)),ABS(C:C-D796),0))</f>
        <v>141152</v>
      </c>
      <c r="G796">
        <f t="shared" si="115"/>
        <v>115</v>
      </c>
      <c r="L796">
        <v>0</v>
      </c>
      <c r="M796">
        <v>0</v>
      </c>
      <c r="N796">
        <v>1</v>
      </c>
      <c r="O796">
        <v>0</v>
      </c>
      <c r="P796" t="str">
        <f t="shared" si="114"/>
        <v>141152 0 0 1 0</v>
      </c>
      <c r="R796">
        <v>0</v>
      </c>
      <c r="S796">
        <v>0</v>
      </c>
      <c r="T796">
        <v>1</v>
      </c>
      <c r="U796">
        <v>0</v>
      </c>
    </row>
    <row r="797" spans="3:22">
      <c r="C797">
        <v>17806</v>
      </c>
      <c r="D797">
        <f t="shared" si="117"/>
        <v>141376</v>
      </c>
      <c r="E797" cm="1">
        <f t="array" ref="E797">INDEX(C:C,MATCH(MIN(ABS(C:C-D797)),ABS(C:C-D797),0))</f>
        <v>141383</v>
      </c>
      <c r="G797">
        <f t="shared" si="115"/>
        <v>231</v>
      </c>
      <c r="L797">
        <v>0</v>
      </c>
      <c r="M797">
        <v>1</v>
      </c>
      <c r="N797">
        <v>0</v>
      </c>
      <c r="O797">
        <v>0</v>
      </c>
      <c r="P797" t="str">
        <f t="shared" si="114"/>
        <v>141383 0 1 0 0</v>
      </c>
      <c r="R797">
        <v>0</v>
      </c>
      <c r="S797">
        <v>1</v>
      </c>
      <c r="T797">
        <v>0</v>
      </c>
      <c r="U797">
        <v>0</v>
      </c>
      <c r="V797" t="str">
        <f t="shared" si="118"/>
        <v>141383 0 1 0 0</v>
      </c>
    </row>
    <row r="798" spans="3:22">
      <c r="C798">
        <v>17829</v>
      </c>
      <c r="D798">
        <f t="shared" si="117"/>
        <v>141493</v>
      </c>
      <c r="E798" cm="1">
        <f t="array" ref="E798">INDEX(C:C,MATCH(MIN(ABS(C:C-D798)),ABS(C:C-D798),0))</f>
        <v>141498</v>
      </c>
      <c r="G798">
        <f t="shared" si="115"/>
        <v>115</v>
      </c>
      <c r="L798">
        <v>0</v>
      </c>
      <c r="M798">
        <v>0</v>
      </c>
      <c r="N798">
        <v>1</v>
      </c>
      <c r="O798">
        <v>0</v>
      </c>
      <c r="P798" t="str">
        <f t="shared" si="114"/>
        <v>141498 0 0 1 0</v>
      </c>
      <c r="R798">
        <v>0</v>
      </c>
      <c r="S798">
        <v>0</v>
      </c>
      <c r="T798">
        <v>1</v>
      </c>
      <c r="U798">
        <v>0</v>
      </c>
      <c r="V798" t="str">
        <f t="shared" si="118"/>
        <v>141498 0 0 1 0</v>
      </c>
    </row>
    <row r="799" spans="3:22">
      <c r="C799">
        <v>17852</v>
      </c>
      <c r="D799">
        <f t="shared" si="117"/>
        <v>141722</v>
      </c>
      <c r="E799" cm="1">
        <f t="array" ref="E799">INDEX(C:C,MATCH(MIN(ABS(C:C-D799)),ABS(C:C-D799),0))</f>
        <v>141729</v>
      </c>
      <c r="G799">
        <f t="shared" si="115"/>
        <v>231</v>
      </c>
      <c r="L799">
        <v>0</v>
      </c>
      <c r="M799">
        <v>1</v>
      </c>
      <c r="N799">
        <v>0</v>
      </c>
      <c r="O799">
        <v>0</v>
      </c>
      <c r="P799" t="str">
        <f t="shared" si="114"/>
        <v>141729 0 1 0 0</v>
      </c>
      <c r="R799">
        <v>0</v>
      </c>
      <c r="S799">
        <v>1</v>
      </c>
      <c r="T799">
        <v>0</v>
      </c>
      <c r="U799">
        <v>0</v>
      </c>
      <c r="V799" t="str">
        <f t="shared" si="118"/>
        <v>141729 0 1 0 0</v>
      </c>
    </row>
    <row r="800" spans="3:22">
      <c r="C800">
        <v>17875</v>
      </c>
      <c r="D800">
        <f t="shared" si="117"/>
        <v>141840</v>
      </c>
      <c r="E800" cm="1">
        <f t="array" ref="E800">INDEX(C:C,MATCH(MIN(ABS(C:C-D800)),ABS(C:C-D800),0))</f>
        <v>141844</v>
      </c>
      <c r="G800">
        <f t="shared" si="115"/>
        <v>115</v>
      </c>
      <c r="L800">
        <v>0</v>
      </c>
      <c r="M800">
        <v>0</v>
      </c>
      <c r="N800">
        <v>1</v>
      </c>
      <c r="O800">
        <v>0</v>
      </c>
      <c r="P800" t="str">
        <f t="shared" si="114"/>
        <v>141844 0 0 1 0</v>
      </c>
      <c r="R800">
        <v>0</v>
      </c>
      <c r="S800">
        <v>0</v>
      </c>
      <c r="T800">
        <v>1</v>
      </c>
      <c r="U800">
        <v>0</v>
      </c>
      <c r="V800" t="str">
        <f t="shared" si="118"/>
        <v>141844 0 0 1 0</v>
      </c>
    </row>
    <row r="801" spans="1:22">
      <c r="C801">
        <v>17898</v>
      </c>
      <c r="D801">
        <f t="shared" si="117"/>
        <v>142077</v>
      </c>
      <c r="E801" cm="1">
        <f t="array" ref="E801">INDEX(C:C,MATCH(MIN(ABS(C:C-D801)),ABS(C:C-D801),0))</f>
        <v>142075</v>
      </c>
      <c r="G801">
        <f t="shared" si="115"/>
        <v>231</v>
      </c>
      <c r="L801">
        <v>1</v>
      </c>
      <c r="M801">
        <v>0</v>
      </c>
      <c r="N801">
        <v>0</v>
      </c>
      <c r="O801">
        <v>0</v>
      </c>
      <c r="P801" t="str">
        <f t="shared" si="114"/>
        <v>142075 1 0 0 0</v>
      </c>
      <c r="R801">
        <v>1</v>
      </c>
      <c r="S801">
        <v>0</v>
      </c>
      <c r="T801">
        <v>0</v>
      </c>
      <c r="U801">
        <v>0</v>
      </c>
      <c r="V801" t="str">
        <f t="shared" si="118"/>
        <v>142075 1 0 0 0</v>
      </c>
    </row>
    <row r="802" spans="1:22">
      <c r="C802">
        <v>17921</v>
      </c>
      <c r="D802">
        <f t="shared" si="117"/>
        <v>142304</v>
      </c>
      <c r="E802" cm="1">
        <f t="array" ref="E802">INDEX(C:C,MATCH(MIN(ABS(C:C-D802)),ABS(C:C-D802),0))</f>
        <v>142306</v>
      </c>
      <c r="G802">
        <f t="shared" si="115"/>
        <v>231</v>
      </c>
      <c r="L802">
        <v>1</v>
      </c>
      <c r="M802">
        <v>0</v>
      </c>
      <c r="N802">
        <v>0</v>
      </c>
      <c r="O802">
        <v>1</v>
      </c>
      <c r="P802" t="str">
        <f t="shared" si="114"/>
        <v>142306 1 0 0 1</v>
      </c>
      <c r="R802">
        <v>1</v>
      </c>
      <c r="S802">
        <v>0</v>
      </c>
      <c r="T802">
        <v>0</v>
      </c>
      <c r="U802">
        <v>1</v>
      </c>
      <c r="V802" t="str">
        <f t="shared" si="118"/>
        <v>142306 1 0 0 1</v>
      </c>
    </row>
    <row r="803" spans="1:22">
      <c r="C803">
        <v>17944</v>
      </c>
      <c r="D803">
        <f t="shared" si="117"/>
        <v>142540</v>
      </c>
      <c r="E803" cm="1">
        <f t="array" ref="E803">INDEX(C:C,MATCH(MIN(ABS(C:C-D803)),ABS(C:C-D803),0))</f>
        <v>142537</v>
      </c>
      <c r="G803">
        <f t="shared" si="115"/>
        <v>231</v>
      </c>
      <c r="L803">
        <v>0</v>
      </c>
      <c r="M803">
        <v>1</v>
      </c>
      <c r="N803">
        <v>0</v>
      </c>
      <c r="O803">
        <v>0</v>
      </c>
      <c r="P803" t="str">
        <f t="shared" si="114"/>
        <v>142537 0 1 0 0</v>
      </c>
      <c r="R803">
        <v>0</v>
      </c>
      <c r="S803">
        <v>1</v>
      </c>
      <c r="T803">
        <v>0</v>
      </c>
      <c r="U803">
        <v>0</v>
      </c>
      <c r="V803" t="str">
        <f t="shared" si="118"/>
        <v>142537 0 1 0 0</v>
      </c>
    </row>
    <row r="804" spans="1:22">
      <c r="C804">
        <v>17967</v>
      </c>
      <c r="D804">
        <f t="shared" si="117"/>
        <v>142653</v>
      </c>
      <c r="E804" cm="1">
        <f t="array" ref="E804">INDEX(C:C,MATCH(MIN(ABS(C:C-D804)),ABS(C:C-D804),0))</f>
        <v>142652</v>
      </c>
      <c r="G804">
        <f t="shared" si="115"/>
        <v>115</v>
      </c>
      <c r="L804">
        <v>0</v>
      </c>
      <c r="M804">
        <v>1</v>
      </c>
      <c r="N804">
        <v>0</v>
      </c>
      <c r="O804">
        <v>0</v>
      </c>
      <c r="P804" t="str">
        <f t="shared" si="114"/>
        <v>142652 0 1 0 0</v>
      </c>
      <c r="R804">
        <v>0</v>
      </c>
      <c r="S804">
        <v>1</v>
      </c>
      <c r="T804">
        <v>0</v>
      </c>
      <c r="U804">
        <v>0</v>
      </c>
    </row>
    <row r="805" spans="1:22">
      <c r="C805">
        <v>17990</v>
      </c>
      <c r="D805">
        <f t="shared" si="117"/>
        <v>142760</v>
      </c>
      <c r="E805" cm="1">
        <f t="array" ref="E805">INDEX(C:C,MATCH(MIN(ABS(C:C-D805)),ABS(C:C-D805),0))</f>
        <v>142767</v>
      </c>
      <c r="G805">
        <f t="shared" si="115"/>
        <v>115</v>
      </c>
      <c r="L805">
        <v>0</v>
      </c>
      <c r="M805">
        <v>0</v>
      </c>
      <c r="N805">
        <v>1</v>
      </c>
      <c r="O805">
        <v>0</v>
      </c>
      <c r="P805" t="str">
        <f t="shared" si="114"/>
        <v>142767 0 0 1 0</v>
      </c>
      <c r="R805">
        <v>0</v>
      </c>
      <c r="S805">
        <v>0</v>
      </c>
      <c r="T805">
        <v>1</v>
      </c>
      <c r="U805">
        <v>0</v>
      </c>
      <c r="V805" t="str">
        <f t="shared" ref="V805:V808" si="119">E805&amp;" "&amp;R805&amp;" "&amp;S805&amp;" "&amp;T805&amp;" "&amp;U805</f>
        <v>142767 0 0 1 0</v>
      </c>
    </row>
    <row r="806" spans="1:22">
      <c r="C806">
        <v>18013</v>
      </c>
      <c r="D806">
        <f t="shared" si="117"/>
        <v>142876</v>
      </c>
      <c r="E806" cm="1">
        <f t="array" ref="E806">INDEX(C:C,MATCH(MIN(ABS(C:C-D806)),ABS(C:C-D806),0))</f>
        <v>142883</v>
      </c>
      <c r="G806">
        <f t="shared" si="115"/>
        <v>116</v>
      </c>
      <c r="L806">
        <v>0</v>
      </c>
      <c r="M806">
        <v>1</v>
      </c>
      <c r="N806">
        <v>0</v>
      </c>
      <c r="O806">
        <v>0</v>
      </c>
      <c r="P806" t="str">
        <f t="shared" si="114"/>
        <v>142883 0 1 0 0</v>
      </c>
      <c r="R806">
        <v>0</v>
      </c>
      <c r="S806">
        <v>1</v>
      </c>
      <c r="T806">
        <v>0</v>
      </c>
      <c r="U806">
        <v>0</v>
      </c>
      <c r="V806" t="str">
        <f t="shared" si="119"/>
        <v>142883 0 1 0 0</v>
      </c>
    </row>
    <row r="807" spans="1:22">
      <c r="C807">
        <v>18037</v>
      </c>
      <c r="D807">
        <f t="shared" si="117"/>
        <v>142991</v>
      </c>
      <c r="E807" cm="1">
        <f t="array" ref="E807">INDEX(C:C,MATCH(MIN(ABS(C:C-D807)),ABS(C:C-D807),0))</f>
        <v>142998</v>
      </c>
      <c r="G807">
        <f t="shared" si="115"/>
        <v>115</v>
      </c>
      <c r="L807">
        <v>0</v>
      </c>
      <c r="M807">
        <v>1</v>
      </c>
      <c r="N807">
        <v>0</v>
      </c>
      <c r="O807">
        <v>0</v>
      </c>
      <c r="P807" t="str">
        <f t="shared" si="114"/>
        <v>142998 0 1 0 0</v>
      </c>
      <c r="R807">
        <v>0</v>
      </c>
      <c r="S807">
        <v>1</v>
      </c>
      <c r="T807">
        <v>0</v>
      </c>
      <c r="U807">
        <v>0</v>
      </c>
    </row>
    <row r="808" spans="1:22">
      <c r="C808">
        <v>18060</v>
      </c>
      <c r="D808">
        <f t="shared" si="117"/>
        <v>143222</v>
      </c>
      <c r="E808" cm="1">
        <f t="array" ref="E808">INDEX(C:C,MATCH(MIN(ABS(C:C-D808)),ABS(C:C-D808),0))</f>
        <v>143229</v>
      </c>
      <c r="G808">
        <f t="shared" si="115"/>
        <v>231</v>
      </c>
      <c r="L808">
        <v>0</v>
      </c>
      <c r="M808">
        <v>0</v>
      </c>
      <c r="N808">
        <v>1</v>
      </c>
      <c r="O808">
        <v>0</v>
      </c>
      <c r="P808" t="str">
        <f t="shared" si="114"/>
        <v>143229 0 0 1 0</v>
      </c>
      <c r="R808">
        <v>0</v>
      </c>
      <c r="S808">
        <v>0</v>
      </c>
      <c r="T808">
        <v>1</v>
      </c>
      <c r="U808">
        <v>0</v>
      </c>
      <c r="V808" t="str">
        <f t="shared" si="119"/>
        <v>143229 0 0 1 0</v>
      </c>
    </row>
    <row r="809" spans="1:22">
      <c r="C809">
        <v>18083</v>
      </c>
      <c r="D809">
        <f t="shared" si="117"/>
        <v>143339</v>
      </c>
      <c r="E809" cm="1">
        <f t="array" ref="E809">INDEX(C:C,MATCH(MIN(ABS(C:C-D809)),ABS(C:C-D809),0))</f>
        <v>143344</v>
      </c>
      <c r="G809">
        <f t="shared" si="115"/>
        <v>115</v>
      </c>
      <c r="L809">
        <v>0</v>
      </c>
      <c r="M809">
        <v>0</v>
      </c>
      <c r="N809">
        <v>1</v>
      </c>
      <c r="O809">
        <v>0</v>
      </c>
      <c r="P809" t="str">
        <f t="shared" si="114"/>
        <v>143344 0 0 1 0</v>
      </c>
      <c r="R809">
        <v>0</v>
      </c>
      <c r="S809">
        <v>0</v>
      </c>
      <c r="T809">
        <v>1</v>
      </c>
      <c r="U809">
        <v>0</v>
      </c>
    </row>
    <row r="810" spans="1:22">
      <c r="C810">
        <v>18106</v>
      </c>
      <c r="D810">
        <f t="shared" si="117"/>
        <v>143452</v>
      </c>
      <c r="E810" cm="1">
        <f t="array" ref="E810">INDEX(C:C,MATCH(MIN(ABS(C:C-D810)),ABS(C:C-D810),0))</f>
        <v>143460</v>
      </c>
      <c r="G810">
        <f t="shared" si="115"/>
        <v>116</v>
      </c>
      <c r="L810">
        <v>0</v>
      </c>
      <c r="M810">
        <v>0</v>
      </c>
      <c r="N810">
        <v>1</v>
      </c>
      <c r="O810">
        <v>0</v>
      </c>
      <c r="P810" t="str">
        <f t="shared" si="114"/>
        <v>143460 0 0 1 0</v>
      </c>
      <c r="R810">
        <v>0</v>
      </c>
      <c r="S810">
        <v>0</v>
      </c>
      <c r="T810">
        <v>1</v>
      </c>
      <c r="U810">
        <v>0</v>
      </c>
      <c r="V810" t="str">
        <f t="shared" ref="V810:V815" si="120">E810&amp;" "&amp;R810&amp;" "&amp;S810&amp;" "&amp;T810&amp;" "&amp;U810</f>
        <v>143460 0 0 1 0</v>
      </c>
    </row>
    <row r="811" spans="1:22">
      <c r="C811">
        <v>18129</v>
      </c>
      <c r="D811">
        <f t="shared" si="117"/>
        <v>143571</v>
      </c>
      <c r="E811" cm="1">
        <f t="array" ref="E811">INDEX(C:C,MATCH(MIN(ABS(C:C-D811)),ABS(C:C-D811),0))</f>
        <v>143575</v>
      </c>
      <c r="G811">
        <f t="shared" si="115"/>
        <v>115</v>
      </c>
      <c r="L811">
        <v>0</v>
      </c>
      <c r="M811">
        <v>0</v>
      </c>
      <c r="N811">
        <v>1</v>
      </c>
      <c r="O811">
        <v>0</v>
      </c>
      <c r="P811" t="str">
        <f t="shared" si="114"/>
        <v>143575 0 0 1 0</v>
      </c>
      <c r="R811">
        <v>0</v>
      </c>
      <c r="S811">
        <v>0</v>
      </c>
      <c r="T811">
        <v>1</v>
      </c>
      <c r="U811">
        <v>0</v>
      </c>
    </row>
    <row r="812" spans="1:22">
      <c r="C812">
        <v>18152</v>
      </c>
      <c r="D812">
        <f t="shared" si="117"/>
        <v>143690</v>
      </c>
      <c r="E812" cm="1">
        <f t="array" ref="E812">INDEX(C:C,MATCH(MIN(ABS(C:C-D812)),ABS(C:C-D812),0))</f>
        <v>143690</v>
      </c>
      <c r="G812">
        <f t="shared" si="115"/>
        <v>115</v>
      </c>
      <c r="L812">
        <v>0</v>
      </c>
      <c r="M812">
        <v>1</v>
      </c>
      <c r="N812">
        <v>0</v>
      </c>
      <c r="O812">
        <v>0</v>
      </c>
      <c r="P812" t="str">
        <f t="shared" ref="P812:P875" si="121">E812&amp;" "&amp;L812&amp;" "&amp;M812&amp;" "&amp;N812&amp;" "&amp;O812</f>
        <v>143690 0 1 0 0</v>
      </c>
      <c r="R812">
        <v>0</v>
      </c>
      <c r="S812">
        <v>1</v>
      </c>
      <c r="T812">
        <v>0</v>
      </c>
      <c r="U812">
        <v>0</v>
      </c>
      <c r="V812" t="str">
        <f t="shared" si="120"/>
        <v>143690 0 1 0 0</v>
      </c>
    </row>
    <row r="813" spans="1:22">
      <c r="C813">
        <v>18175</v>
      </c>
      <c r="D813">
        <f t="shared" si="117"/>
        <v>143918</v>
      </c>
      <c r="E813" cm="1">
        <f t="array" ref="E813">INDEX(C:C,MATCH(MIN(ABS(C:C-D813)),ABS(C:C-D813),0))</f>
        <v>143921</v>
      </c>
      <c r="G813">
        <f t="shared" si="115"/>
        <v>231</v>
      </c>
      <c r="L813">
        <v>0</v>
      </c>
      <c r="M813">
        <v>0</v>
      </c>
      <c r="N813">
        <v>0</v>
      </c>
      <c r="O813">
        <v>1</v>
      </c>
      <c r="P813" t="str">
        <f t="shared" si="121"/>
        <v>143921 0 0 0 1</v>
      </c>
      <c r="R813">
        <v>0</v>
      </c>
      <c r="S813">
        <v>0</v>
      </c>
      <c r="T813">
        <v>0</v>
      </c>
      <c r="U813">
        <v>1</v>
      </c>
      <c r="V813" t="str">
        <f t="shared" si="120"/>
        <v>143921 0 0 0 1</v>
      </c>
    </row>
    <row r="814" spans="1:22">
      <c r="A814" t="s">
        <v>97</v>
      </c>
      <c r="C814">
        <v>18198</v>
      </c>
      <c r="D814">
        <f t="shared" si="117"/>
        <v>144150</v>
      </c>
      <c r="E814" cm="1">
        <f t="array" ref="E814">INDEX(C:C,MATCH(MIN(ABS(C:C-D814)),ABS(C:C-D814),0))</f>
        <v>144152</v>
      </c>
      <c r="G814">
        <f t="shared" si="115"/>
        <v>231</v>
      </c>
      <c r="L814">
        <v>1</v>
      </c>
      <c r="M814">
        <v>0</v>
      </c>
      <c r="N814">
        <v>0</v>
      </c>
      <c r="O814">
        <v>1</v>
      </c>
      <c r="P814" t="str">
        <f t="shared" si="121"/>
        <v>144152 1 0 0 1</v>
      </c>
      <c r="R814">
        <v>1</v>
      </c>
      <c r="S814">
        <v>0</v>
      </c>
      <c r="T814">
        <v>0</v>
      </c>
      <c r="U814">
        <v>0</v>
      </c>
      <c r="V814" t="str">
        <f t="shared" si="120"/>
        <v>144152 1 0 0 0</v>
      </c>
    </row>
    <row r="815" spans="1:22">
      <c r="C815">
        <v>18221</v>
      </c>
      <c r="D815">
        <f t="shared" si="117"/>
        <v>144386</v>
      </c>
      <c r="E815" cm="1">
        <f t="array" ref="E815">INDEX(C:C,MATCH(MIN(ABS(C:C-D815)),ABS(C:C-D815),0))</f>
        <v>144383</v>
      </c>
      <c r="G815">
        <f t="shared" si="115"/>
        <v>231</v>
      </c>
      <c r="L815">
        <v>0</v>
      </c>
      <c r="M815">
        <v>1</v>
      </c>
      <c r="N815">
        <v>1</v>
      </c>
      <c r="O815">
        <v>0</v>
      </c>
      <c r="P815" t="str">
        <f t="shared" si="121"/>
        <v>144383 0 1 1 0</v>
      </c>
      <c r="R815">
        <v>0</v>
      </c>
      <c r="S815">
        <v>1</v>
      </c>
      <c r="T815">
        <v>0</v>
      </c>
      <c r="U815">
        <v>0</v>
      </c>
      <c r="V815" t="str">
        <f t="shared" si="120"/>
        <v>144383 0 1 0 0</v>
      </c>
    </row>
    <row r="816" spans="1:22">
      <c r="C816">
        <v>18244</v>
      </c>
      <c r="D816">
        <f t="shared" si="117"/>
        <v>144499</v>
      </c>
      <c r="E816" cm="1">
        <f t="array" ref="E816">INDEX(C:C,MATCH(MIN(ABS(C:C-D816)),ABS(C:C-D816),0))</f>
        <v>144498</v>
      </c>
      <c r="G816">
        <f t="shared" si="115"/>
        <v>115</v>
      </c>
      <c r="L816">
        <v>0</v>
      </c>
      <c r="M816">
        <v>1</v>
      </c>
      <c r="N816">
        <v>1</v>
      </c>
      <c r="O816">
        <v>0</v>
      </c>
      <c r="P816" t="str">
        <f t="shared" si="121"/>
        <v>144498 0 1 1 0</v>
      </c>
      <c r="R816">
        <v>0</v>
      </c>
      <c r="S816">
        <v>1</v>
      </c>
      <c r="T816">
        <v>0</v>
      </c>
      <c r="U816">
        <v>0</v>
      </c>
    </row>
    <row r="817" spans="3:22">
      <c r="C817">
        <v>18267</v>
      </c>
      <c r="D817">
        <f t="shared" si="117"/>
        <v>144606</v>
      </c>
      <c r="E817" cm="1">
        <f t="array" ref="E817">INDEX(C:C,MATCH(MIN(ABS(C:C-D817)),ABS(C:C-D817),0))</f>
        <v>144613</v>
      </c>
      <c r="G817">
        <f t="shared" si="115"/>
        <v>115</v>
      </c>
      <c r="L817">
        <v>0</v>
      </c>
      <c r="M817">
        <v>1</v>
      </c>
      <c r="N817">
        <v>1</v>
      </c>
      <c r="O817">
        <v>0</v>
      </c>
      <c r="P817" t="str">
        <f t="shared" si="121"/>
        <v>144613 0 1 1 0</v>
      </c>
      <c r="R817">
        <v>0</v>
      </c>
      <c r="S817">
        <v>0</v>
      </c>
      <c r="T817">
        <v>1</v>
      </c>
      <c r="U817">
        <v>0</v>
      </c>
      <c r="V817" t="str">
        <f t="shared" ref="V817:V826" si="122">E817&amp;" "&amp;R817&amp;" "&amp;S817&amp;" "&amp;T817&amp;" "&amp;U817</f>
        <v>144613 0 0 1 0</v>
      </c>
    </row>
    <row r="818" spans="3:22">
      <c r="C818">
        <v>18290</v>
      </c>
      <c r="D818">
        <f t="shared" si="117"/>
        <v>144722</v>
      </c>
      <c r="E818" cm="1">
        <f t="array" ref="E818">INDEX(C:C,MATCH(MIN(ABS(C:C-D818)),ABS(C:C-D818),0))</f>
        <v>144729</v>
      </c>
      <c r="G818">
        <f t="shared" si="115"/>
        <v>116</v>
      </c>
      <c r="L818">
        <v>0</v>
      </c>
      <c r="M818">
        <v>1</v>
      </c>
      <c r="N818">
        <v>1</v>
      </c>
      <c r="O818">
        <v>0</v>
      </c>
      <c r="P818" t="str">
        <f t="shared" si="121"/>
        <v>144729 0 1 1 0</v>
      </c>
      <c r="R818">
        <v>0</v>
      </c>
      <c r="S818">
        <v>1</v>
      </c>
      <c r="T818">
        <v>0</v>
      </c>
      <c r="U818">
        <v>0</v>
      </c>
      <c r="V818" t="str">
        <f t="shared" si="122"/>
        <v>144729 0 1 0 0</v>
      </c>
    </row>
    <row r="819" spans="3:22">
      <c r="C819">
        <v>18313</v>
      </c>
      <c r="D819">
        <f t="shared" si="117"/>
        <v>144837</v>
      </c>
      <c r="E819" cm="1">
        <f t="array" ref="E819">INDEX(C:C,MATCH(MIN(ABS(C:C-D819)),ABS(C:C-D819),0))</f>
        <v>144844</v>
      </c>
      <c r="G819">
        <f t="shared" si="115"/>
        <v>115</v>
      </c>
      <c r="L819">
        <v>0</v>
      </c>
      <c r="M819">
        <v>1</v>
      </c>
      <c r="N819">
        <v>1</v>
      </c>
      <c r="O819">
        <v>0</v>
      </c>
      <c r="P819" t="str">
        <f t="shared" si="121"/>
        <v>144844 0 1 1 0</v>
      </c>
      <c r="R819">
        <v>0</v>
      </c>
      <c r="S819">
        <v>1</v>
      </c>
      <c r="T819">
        <v>0</v>
      </c>
      <c r="U819">
        <v>0</v>
      </c>
    </row>
    <row r="820" spans="3:22">
      <c r="C820">
        <v>18337</v>
      </c>
      <c r="D820">
        <f t="shared" si="117"/>
        <v>145068</v>
      </c>
      <c r="E820" cm="1">
        <f t="array" ref="E820">INDEX(C:C,MATCH(MIN(ABS(C:C-D820)),ABS(C:C-D820),0))</f>
        <v>145075</v>
      </c>
      <c r="G820">
        <f t="shared" si="115"/>
        <v>231</v>
      </c>
      <c r="L820">
        <v>0</v>
      </c>
      <c r="M820">
        <v>1</v>
      </c>
      <c r="N820">
        <v>1</v>
      </c>
      <c r="O820">
        <v>0</v>
      </c>
      <c r="P820" t="str">
        <f t="shared" si="121"/>
        <v>145075 0 1 1 0</v>
      </c>
      <c r="R820">
        <v>0</v>
      </c>
      <c r="S820">
        <v>0</v>
      </c>
      <c r="T820">
        <v>1</v>
      </c>
      <c r="U820">
        <v>0</v>
      </c>
      <c r="V820" t="str">
        <f t="shared" si="122"/>
        <v>145075 0 0 1 0</v>
      </c>
    </row>
    <row r="821" spans="3:22">
      <c r="C821">
        <v>18360</v>
      </c>
      <c r="D821">
        <f t="shared" ref="D821:D852" si="123">D441+66439</f>
        <v>145185</v>
      </c>
      <c r="E821" cm="1">
        <f t="array" ref="E821">INDEX(C:C,MATCH(MIN(ABS(C:C-D821)),ABS(C:C-D821),0))</f>
        <v>145190</v>
      </c>
      <c r="G821">
        <f t="shared" si="115"/>
        <v>115</v>
      </c>
      <c r="L821">
        <v>0</v>
      </c>
      <c r="M821">
        <v>1</v>
      </c>
      <c r="N821">
        <v>1</v>
      </c>
      <c r="O821">
        <v>0</v>
      </c>
      <c r="P821" t="str">
        <f t="shared" si="121"/>
        <v>145190 0 1 1 0</v>
      </c>
      <c r="R821">
        <v>0</v>
      </c>
      <c r="S821">
        <v>1</v>
      </c>
      <c r="T821">
        <v>0</v>
      </c>
      <c r="U821">
        <v>0</v>
      </c>
      <c r="V821" t="str">
        <f t="shared" si="122"/>
        <v>145190 0 1 0 0</v>
      </c>
    </row>
    <row r="822" spans="3:22">
      <c r="C822">
        <v>18383</v>
      </c>
      <c r="D822">
        <f t="shared" si="123"/>
        <v>145414</v>
      </c>
      <c r="E822" cm="1">
        <f t="array" ref="E822">INDEX(C:C,MATCH(MIN(ABS(C:C-D822)),ABS(C:C-D822),0))</f>
        <v>145421</v>
      </c>
      <c r="G822">
        <f t="shared" si="115"/>
        <v>231</v>
      </c>
      <c r="L822">
        <v>0</v>
      </c>
      <c r="M822">
        <v>1</v>
      </c>
      <c r="N822">
        <v>1</v>
      </c>
      <c r="O822">
        <v>0</v>
      </c>
      <c r="P822" t="str">
        <f t="shared" si="121"/>
        <v>145421 0 1 1 0</v>
      </c>
      <c r="R822">
        <v>0</v>
      </c>
      <c r="S822">
        <v>0</v>
      </c>
      <c r="T822">
        <v>1</v>
      </c>
      <c r="U822">
        <v>0</v>
      </c>
      <c r="V822" t="str">
        <f t="shared" si="122"/>
        <v>145421 0 0 1 0</v>
      </c>
    </row>
    <row r="823" spans="3:22">
      <c r="C823">
        <v>18406</v>
      </c>
      <c r="D823">
        <f t="shared" si="123"/>
        <v>145532</v>
      </c>
      <c r="E823" cm="1">
        <f t="array" ref="E823">INDEX(C:C,MATCH(MIN(ABS(C:C-D823)),ABS(C:C-D823),0))</f>
        <v>145537</v>
      </c>
      <c r="G823">
        <f t="shared" si="115"/>
        <v>116</v>
      </c>
      <c r="L823">
        <v>0</v>
      </c>
      <c r="M823">
        <v>1</v>
      </c>
      <c r="N823">
        <v>1</v>
      </c>
      <c r="O823">
        <v>0</v>
      </c>
      <c r="P823" t="str">
        <f t="shared" si="121"/>
        <v>145537 0 1 1 0</v>
      </c>
      <c r="R823">
        <v>0</v>
      </c>
      <c r="S823">
        <v>1</v>
      </c>
      <c r="T823">
        <v>0</v>
      </c>
      <c r="U823">
        <v>0</v>
      </c>
      <c r="V823" t="str">
        <f t="shared" si="122"/>
        <v>145537 0 1 0 0</v>
      </c>
    </row>
    <row r="824" spans="3:22">
      <c r="C824">
        <v>18429</v>
      </c>
      <c r="D824">
        <f t="shared" si="123"/>
        <v>145769</v>
      </c>
      <c r="E824" cm="1">
        <f t="array" ref="E824">INDEX(C:C,MATCH(MIN(ABS(C:C-D824)),ABS(C:C-D824),0))</f>
        <v>145767</v>
      </c>
      <c r="G824">
        <f t="shared" si="115"/>
        <v>230</v>
      </c>
      <c r="L824">
        <v>1</v>
      </c>
      <c r="M824">
        <v>0</v>
      </c>
      <c r="N824">
        <v>0</v>
      </c>
      <c r="O824">
        <v>1</v>
      </c>
      <c r="P824" t="str">
        <f t="shared" si="121"/>
        <v>145767 1 0 0 1</v>
      </c>
      <c r="R824">
        <v>0</v>
      </c>
      <c r="S824">
        <v>0</v>
      </c>
      <c r="T824">
        <v>0</v>
      </c>
      <c r="U824">
        <v>1</v>
      </c>
      <c r="V824" t="str">
        <f t="shared" si="122"/>
        <v>145767 0 0 0 1</v>
      </c>
    </row>
    <row r="825" spans="3:22">
      <c r="C825">
        <v>18452</v>
      </c>
      <c r="D825">
        <f t="shared" si="123"/>
        <v>145996</v>
      </c>
      <c r="E825" cm="1">
        <f t="array" ref="E825">INDEX(C:C,MATCH(MIN(ABS(C:C-D825)),ABS(C:C-D825),0))</f>
        <v>145998</v>
      </c>
      <c r="G825">
        <f t="shared" si="115"/>
        <v>231</v>
      </c>
      <c r="L825">
        <v>1</v>
      </c>
      <c r="M825">
        <v>0</v>
      </c>
      <c r="N825">
        <v>0</v>
      </c>
      <c r="O825">
        <v>1</v>
      </c>
      <c r="P825" t="str">
        <f t="shared" si="121"/>
        <v>145998 1 0 0 1</v>
      </c>
      <c r="R825">
        <v>1</v>
      </c>
      <c r="S825">
        <v>0</v>
      </c>
      <c r="T825">
        <v>0</v>
      </c>
      <c r="U825">
        <v>1</v>
      </c>
      <c r="V825" t="str">
        <f t="shared" si="122"/>
        <v>145998 1 0 0 1</v>
      </c>
    </row>
    <row r="826" spans="3:22">
      <c r="C826">
        <v>18475</v>
      </c>
      <c r="D826">
        <f t="shared" si="123"/>
        <v>146232</v>
      </c>
      <c r="E826" cm="1">
        <f t="array" ref="E826">INDEX(C:C,MATCH(MIN(ABS(C:C-D826)),ABS(C:C-D826),0))</f>
        <v>146229</v>
      </c>
      <c r="G826">
        <f t="shared" ref="G826:G889" si="124">E826-E825</f>
        <v>231</v>
      </c>
      <c r="L826">
        <v>0</v>
      </c>
      <c r="M826">
        <v>1</v>
      </c>
      <c r="N826">
        <v>1</v>
      </c>
      <c r="O826">
        <v>0</v>
      </c>
      <c r="P826" t="str">
        <f t="shared" si="121"/>
        <v>146229 0 1 1 0</v>
      </c>
      <c r="R826">
        <v>0</v>
      </c>
      <c r="S826">
        <v>0</v>
      </c>
      <c r="T826">
        <v>1</v>
      </c>
      <c r="U826">
        <v>0</v>
      </c>
      <c r="V826" t="str">
        <f t="shared" si="122"/>
        <v>146229 0 0 1 0</v>
      </c>
    </row>
    <row r="827" spans="3:22">
      <c r="C827">
        <v>18498</v>
      </c>
      <c r="D827">
        <f t="shared" si="123"/>
        <v>146345</v>
      </c>
      <c r="E827" cm="1">
        <f t="array" ref="E827">INDEX(C:C,MATCH(MIN(ABS(C:C-D827)),ABS(C:C-D827),0))</f>
        <v>146344</v>
      </c>
      <c r="G827">
        <f t="shared" si="124"/>
        <v>115</v>
      </c>
      <c r="L827">
        <v>0</v>
      </c>
      <c r="M827">
        <v>1</v>
      </c>
      <c r="N827">
        <v>1</v>
      </c>
      <c r="O827">
        <v>0</v>
      </c>
      <c r="P827" t="str">
        <f t="shared" si="121"/>
        <v>146344 0 1 1 0</v>
      </c>
      <c r="R827">
        <v>0</v>
      </c>
      <c r="S827">
        <v>0</v>
      </c>
      <c r="T827">
        <v>1</v>
      </c>
      <c r="U827">
        <v>0</v>
      </c>
    </row>
    <row r="828" spans="3:22">
      <c r="C828">
        <v>18521</v>
      </c>
      <c r="D828">
        <f t="shared" si="123"/>
        <v>146452</v>
      </c>
      <c r="E828" cm="1">
        <f t="array" ref="E828">INDEX(C:C,MATCH(MIN(ABS(C:C-D828)),ABS(C:C-D828),0))</f>
        <v>146460</v>
      </c>
      <c r="G828">
        <f t="shared" si="124"/>
        <v>116</v>
      </c>
      <c r="L828">
        <v>0</v>
      </c>
      <c r="M828">
        <v>1</v>
      </c>
      <c r="N828">
        <v>0</v>
      </c>
      <c r="O828">
        <v>0</v>
      </c>
      <c r="P828" t="str">
        <f t="shared" si="121"/>
        <v>146460 0 1 0 0</v>
      </c>
      <c r="R828">
        <v>0</v>
      </c>
      <c r="S828">
        <v>1</v>
      </c>
      <c r="T828">
        <v>0</v>
      </c>
      <c r="U828">
        <v>0</v>
      </c>
      <c r="V828" t="str">
        <f t="shared" ref="V828:V837" si="125">E828&amp;" "&amp;R828&amp;" "&amp;S828&amp;" "&amp;T828&amp;" "&amp;U828</f>
        <v>146460 0 1 0 0</v>
      </c>
    </row>
    <row r="829" spans="3:22">
      <c r="C829">
        <v>18544</v>
      </c>
      <c r="D829">
        <f t="shared" si="123"/>
        <v>146568</v>
      </c>
      <c r="E829" cm="1">
        <f t="array" ref="E829">INDEX(C:C,MATCH(MIN(ABS(C:C-D829)),ABS(C:C-D829),0))</f>
        <v>146575</v>
      </c>
      <c r="G829">
        <f t="shared" si="124"/>
        <v>115</v>
      </c>
      <c r="L829">
        <v>0</v>
      </c>
      <c r="M829">
        <v>0</v>
      </c>
      <c r="N829">
        <v>1</v>
      </c>
      <c r="O829">
        <v>0</v>
      </c>
      <c r="P829" t="str">
        <f t="shared" si="121"/>
        <v>146575 0 0 1 0</v>
      </c>
      <c r="R829">
        <v>0</v>
      </c>
      <c r="S829">
        <v>0</v>
      </c>
      <c r="T829">
        <v>1</v>
      </c>
      <c r="U829">
        <v>0</v>
      </c>
      <c r="V829" t="str">
        <f t="shared" si="125"/>
        <v>146575 0 0 1 0</v>
      </c>
    </row>
    <row r="830" spans="3:22">
      <c r="C830">
        <v>18567</v>
      </c>
      <c r="D830">
        <f t="shared" si="123"/>
        <v>146683</v>
      </c>
      <c r="E830" cm="1">
        <f t="array" ref="E830">INDEX(C:C,MATCH(MIN(ABS(C:C-D830)),ABS(C:C-D830),0))</f>
        <v>146690</v>
      </c>
      <c r="G830">
        <f t="shared" si="124"/>
        <v>115</v>
      </c>
      <c r="L830">
        <v>0</v>
      </c>
      <c r="M830">
        <v>0</v>
      </c>
      <c r="N830">
        <v>1</v>
      </c>
      <c r="O830">
        <v>0</v>
      </c>
      <c r="P830" t="str">
        <f t="shared" si="121"/>
        <v>146690 0 0 1 0</v>
      </c>
      <c r="R830">
        <v>0</v>
      </c>
      <c r="S830">
        <v>0</v>
      </c>
      <c r="T830">
        <v>1</v>
      </c>
      <c r="U830">
        <v>0</v>
      </c>
    </row>
    <row r="831" spans="3:22">
      <c r="C831">
        <v>18590</v>
      </c>
      <c r="D831">
        <f t="shared" si="123"/>
        <v>146914</v>
      </c>
      <c r="E831" cm="1">
        <f t="array" ref="E831">INDEX(C:C,MATCH(MIN(ABS(C:C-D831)),ABS(C:C-D831),0))</f>
        <v>146921</v>
      </c>
      <c r="G831">
        <f t="shared" si="124"/>
        <v>231</v>
      </c>
      <c r="L831">
        <v>0</v>
      </c>
      <c r="M831">
        <v>1</v>
      </c>
      <c r="N831">
        <v>0</v>
      </c>
      <c r="O831">
        <v>0</v>
      </c>
      <c r="P831" t="str">
        <f t="shared" si="121"/>
        <v>146921 0 1 0 0</v>
      </c>
      <c r="R831">
        <v>0</v>
      </c>
      <c r="S831">
        <v>1</v>
      </c>
      <c r="T831">
        <v>0</v>
      </c>
      <c r="U831">
        <v>0</v>
      </c>
      <c r="V831" t="str">
        <f t="shared" si="125"/>
        <v>146921 0 1 0 0</v>
      </c>
    </row>
    <row r="832" spans="3:22">
      <c r="C832">
        <v>18613</v>
      </c>
      <c r="D832">
        <f t="shared" si="123"/>
        <v>147031</v>
      </c>
      <c r="E832" cm="1">
        <f t="array" ref="E832">INDEX(C:C,MATCH(MIN(ABS(C:C-D832)),ABS(C:C-D832),0))</f>
        <v>147037</v>
      </c>
      <c r="G832">
        <f t="shared" si="124"/>
        <v>116</v>
      </c>
      <c r="L832">
        <v>0</v>
      </c>
      <c r="M832">
        <v>0</v>
      </c>
      <c r="N832">
        <v>1</v>
      </c>
      <c r="O832">
        <v>0</v>
      </c>
      <c r="P832" t="str">
        <f t="shared" si="121"/>
        <v>147037 0 0 1 0</v>
      </c>
      <c r="R832">
        <v>0</v>
      </c>
      <c r="S832">
        <v>0</v>
      </c>
      <c r="T832">
        <v>1</v>
      </c>
      <c r="U832">
        <v>0</v>
      </c>
      <c r="V832" t="str">
        <f t="shared" si="125"/>
        <v>147037 0 0 1 0</v>
      </c>
    </row>
    <row r="833" spans="3:22">
      <c r="C833">
        <v>18637</v>
      </c>
      <c r="D833">
        <f t="shared" si="123"/>
        <v>147260</v>
      </c>
      <c r="E833" cm="1">
        <f t="array" ref="E833">INDEX(C:C,MATCH(MIN(ABS(C:C-D833)),ABS(C:C-D833),0))</f>
        <v>147267</v>
      </c>
      <c r="G833">
        <f t="shared" si="124"/>
        <v>230</v>
      </c>
      <c r="L833">
        <v>0</v>
      </c>
      <c r="M833">
        <v>1</v>
      </c>
      <c r="N833">
        <v>0</v>
      </c>
      <c r="O833">
        <v>0</v>
      </c>
      <c r="P833" t="str">
        <f t="shared" si="121"/>
        <v>147267 0 1 0 0</v>
      </c>
      <c r="R833">
        <v>0</v>
      </c>
      <c r="S833">
        <v>1</v>
      </c>
      <c r="T833">
        <v>0</v>
      </c>
      <c r="U833">
        <v>0</v>
      </c>
      <c r="V833" t="str">
        <f t="shared" si="125"/>
        <v>147267 0 1 0 0</v>
      </c>
    </row>
    <row r="834" spans="3:22">
      <c r="C834">
        <v>18660</v>
      </c>
      <c r="D834">
        <f t="shared" si="123"/>
        <v>147378</v>
      </c>
      <c r="E834" cm="1">
        <f t="array" ref="E834">INDEX(C:C,MATCH(MIN(ABS(C:C-D834)),ABS(C:C-D834),0))</f>
        <v>147383</v>
      </c>
      <c r="G834">
        <f t="shared" si="124"/>
        <v>116</v>
      </c>
      <c r="L834">
        <v>0</v>
      </c>
      <c r="M834">
        <v>0</v>
      </c>
      <c r="N834">
        <v>1</v>
      </c>
      <c r="O834">
        <v>0</v>
      </c>
      <c r="P834" t="str">
        <f t="shared" si="121"/>
        <v>147383 0 0 1 0</v>
      </c>
      <c r="R834">
        <v>0</v>
      </c>
      <c r="S834">
        <v>0</v>
      </c>
      <c r="T834">
        <v>1</v>
      </c>
      <c r="U834">
        <v>0</v>
      </c>
      <c r="V834" t="str">
        <f t="shared" si="125"/>
        <v>147383 0 0 1 0</v>
      </c>
    </row>
    <row r="835" spans="3:22">
      <c r="C835">
        <v>18683</v>
      </c>
      <c r="D835">
        <f t="shared" si="123"/>
        <v>147615</v>
      </c>
      <c r="E835" cm="1">
        <f t="array" ref="E835">INDEX(C:C,MATCH(MIN(ABS(C:C-D835)),ABS(C:C-D835),0))</f>
        <v>147613</v>
      </c>
      <c r="G835">
        <f t="shared" si="124"/>
        <v>230</v>
      </c>
      <c r="L835">
        <v>1</v>
      </c>
      <c r="M835">
        <v>1</v>
      </c>
      <c r="N835">
        <v>1</v>
      </c>
      <c r="O835">
        <v>1</v>
      </c>
      <c r="P835" t="str">
        <f t="shared" si="121"/>
        <v>147613 1 1 1 1</v>
      </c>
      <c r="R835">
        <v>1</v>
      </c>
      <c r="S835">
        <v>0</v>
      </c>
      <c r="T835">
        <v>0</v>
      </c>
      <c r="U835">
        <v>0</v>
      </c>
      <c r="V835" t="str">
        <f t="shared" si="125"/>
        <v>147613 1 0 0 0</v>
      </c>
    </row>
    <row r="836" spans="3:22">
      <c r="C836">
        <v>18706</v>
      </c>
      <c r="D836">
        <f t="shared" si="123"/>
        <v>147842</v>
      </c>
      <c r="E836" cm="1">
        <f t="array" ref="E836">INDEX(C:C,MATCH(MIN(ABS(C:C-D836)),ABS(C:C-D836),0))</f>
        <v>147844</v>
      </c>
      <c r="G836">
        <f t="shared" si="124"/>
        <v>231</v>
      </c>
      <c r="L836">
        <v>1</v>
      </c>
      <c r="M836">
        <v>0</v>
      </c>
      <c r="N836">
        <v>0</v>
      </c>
      <c r="O836">
        <v>0</v>
      </c>
      <c r="P836" t="str">
        <f t="shared" si="121"/>
        <v>147844 1 0 0 0</v>
      </c>
      <c r="R836">
        <v>1</v>
      </c>
      <c r="S836">
        <v>0</v>
      </c>
      <c r="T836">
        <v>0</v>
      </c>
      <c r="U836">
        <v>0</v>
      </c>
      <c r="V836" t="str">
        <f t="shared" si="125"/>
        <v>147844 1 0 0 0</v>
      </c>
    </row>
    <row r="837" spans="3:22">
      <c r="C837">
        <v>18729</v>
      </c>
      <c r="D837">
        <f t="shared" si="123"/>
        <v>148078</v>
      </c>
      <c r="E837" cm="1">
        <f t="array" ref="E837">INDEX(C:C,MATCH(MIN(ABS(C:C-D837)),ABS(C:C-D837),0))</f>
        <v>148075</v>
      </c>
      <c r="G837">
        <f t="shared" si="124"/>
        <v>231</v>
      </c>
      <c r="L837">
        <v>0</v>
      </c>
      <c r="M837">
        <v>1</v>
      </c>
      <c r="N837">
        <v>0</v>
      </c>
      <c r="O837">
        <v>0</v>
      </c>
      <c r="P837" t="str">
        <f t="shared" si="121"/>
        <v>148075 0 1 0 0</v>
      </c>
      <c r="R837">
        <v>0</v>
      </c>
      <c r="S837">
        <v>1</v>
      </c>
      <c r="T837">
        <v>0</v>
      </c>
      <c r="U837">
        <v>0</v>
      </c>
      <c r="V837" t="str">
        <f t="shared" si="125"/>
        <v>148075 0 1 0 0</v>
      </c>
    </row>
    <row r="838" spans="3:22">
      <c r="C838">
        <v>18752</v>
      </c>
      <c r="D838">
        <f t="shared" si="123"/>
        <v>148191</v>
      </c>
      <c r="E838" cm="1">
        <f t="array" ref="E838">INDEX(C:C,MATCH(MIN(ABS(C:C-D838)),ABS(C:C-D838),0))</f>
        <v>148190</v>
      </c>
      <c r="G838">
        <f t="shared" si="124"/>
        <v>115</v>
      </c>
      <c r="L838">
        <v>0</v>
      </c>
      <c r="M838">
        <v>1</v>
      </c>
      <c r="N838">
        <v>0</v>
      </c>
      <c r="O838">
        <v>0</v>
      </c>
      <c r="P838" t="str">
        <f t="shared" si="121"/>
        <v>148190 0 1 0 0</v>
      </c>
      <c r="R838">
        <v>0</v>
      </c>
      <c r="S838">
        <v>1</v>
      </c>
      <c r="T838">
        <v>0</v>
      </c>
      <c r="U838">
        <v>0</v>
      </c>
    </row>
    <row r="839" spans="3:22">
      <c r="C839">
        <v>18775</v>
      </c>
      <c r="D839">
        <f t="shared" si="123"/>
        <v>148298</v>
      </c>
      <c r="E839" cm="1">
        <f t="array" ref="E839">INDEX(C:C,MATCH(MIN(ABS(C:C-D839)),ABS(C:C-D839),0))</f>
        <v>148306</v>
      </c>
      <c r="G839">
        <f t="shared" si="124"/>
        <v>116</v>
      </c>
      <c r="L839">
        <v>0</v>
      </c>
      <c r="M839">
        <v>0</v>
      </c>
      <c r="N839">
        <v>1</v>
      </c>
      <c r="O839">
        <v>0</v>
      </c>
      <c r="P839" t="str">
        <f t="shared" si="121"/>
        <v>148306 0 0 1 0</v>
      </c>
      <c r="R839">
        <v>0</v>
      </c>
      <c r="S839">
        <v>0</v>
      </c>
      <c r="T839">
        <v>1</v>
      </c>
      <c r="U839">
        <v>0</v>
      </c>
      <c r="V839" t="str">
        <f t="shared" ref="V839:V848" si="126">E839&amp;" "&amp;R839&amp;" "&amp;S839&amp;" "&amp;T839&amp;" "&amp;U839</f>
        <v>148306 0 0 1 0</v>
      </c>
    </row>
    <row r="840" spans="3:22">
      <c r="C840">
        <v>18798</v>
      </c>
      <c r="D840">
        <f t="shared" si="123"/>
        <v>148414</v>
      </c>
      <c r="E840" cm="1">
        <f t="array" ref="E840">INDEX(C:C,MATCH(MIN(ABS(C:C-D840)),ABS(C:C-D840),0))</f>
        <v>148421</v>
      </c>
      <c r="G840">
        <f t="shared" si="124"/>
        <v>115</v>
      </c>
      <c r="L840">
        <v>0</v>
      </c>
      <c r="M840">
        <v>1</v>
      </c>
      <c r="N840">
        <v>1</v>
      </c>
      <c r="O840">
        <v>0</v>
      </c>
      <c r="P840" t="str">
        <f t="shared" si="121"/>
        <v>148421 0 1 1 0</v>
      </c>
      <c r="R840">
        <v>0</v>
      </c>
      <c r="S840">
        <v>1</v>
      </c>
      <c r="T840">
        <v>0</v>
      </c>
      <c r="U840">
        <v>0</v>
      </c>
      <c r="V840" t="str">
        <f t="shared" si="126"/>
        <v>148421 0 1 0 0</v>
      </c>
    </row>
    <row r="841" spans="3:22">
      <c r="C841">
        <v>18821</v>
      </c>
      <c r="D841">
        <f t="shared" si="123"/>
        <v>148529</v>
      </c>
      <c r="E841" cm="1">
        <f t="array" ref="E841">INDEX(C:C,MATCH(MIN(ABS(C:C-D841)),ABS(C:C-D841),0))</f>
        <v>148537</v>
      </c>
      <c r="G841">
        <f t="shared" si="124"/>
        <v>116</v>
      </c>
      <c r="L841">
        <v>0</v>
      </c>
      <c r="M841">
        <v>1</v>
      </c>
      <c r="N841">
        <v>1</v>
      </c>
      <c r="O841">
        <v>0</v>
      </c>
      <c r="P841" t="str">
        <f t="shared" si="121"/>
        <v>148537 0 1 1 0</v>
      </c>
      <c r="R841">
        <v>0</v>
      </c>
      <c r="S841">
        <v>1</v>
      </c>
      <c r="T841">
        <v>0</v>
      </c>
      <c r="U841">
        <v>0</v>
      </c>
    </row>
    <row r="842" spans="3:22">
      <c r="C842">
        <v>18844</v>
      </c>
      <c r="D842">
        <f t="shared" si="123"/>
        <v>148760</v>
      </c>
      <c r="E842" cm="1">
        <f t="array" ref="E842">INDEX(C:C,MATCH(MIN(ABS(C:C-D842)),ABS(C:C-D842),0))</f>
        <v>148767</v>
      </c>
      <c r="G842">
        <f t="shared" si="124"/>
        <v>230</v>
      </c>
      <c r="L842">
        <v>0</v>
      </c>
      <c r="M842">
        <v>0</v>
      </c>
      <c r="N842">
        <v>1</v>
      </c>
      <c r="O842">
        <v>0</v>
      </c>
      <c r="P842" t="str">
        <f t="shared" si="121"/>
        <v>148767 0 0 1 0</v>
      </c>
      <c r="R842">
        <v>0</v>
      </c>
      <c r="S842">
        <v>0</v>
      </c>
      <c r="T842">
        <v>1</v>
      </c>
      <c r="U842">
        <v>0</v>
      </c>
      <c r="V842" t="str">
        <f t="shared" si="126"/>
        <v>148767 0 0 1 0</v>
      </c>
    </row>
    <row r="843" spans="3:22">
      <c r="C843">
        <v>18867</v>
      </c>
      <c r="D843">
        <f t="shared" si="123"/>
        <v>148877</v>
      </c>
      <c r="E843" cm="1">
        <f t="array" ref="E843">INDEX(C:C,MATCH(MIN(ABS(C:C-D843)),ABS(C:C-D843),0))</f>
        <v>148883</v>
      </c>
      <c r="G843">
        <f t="shared" si="124"/>
        <v>116</v>
      </c>
      <c r="L843">
        <v>0</v>
      </c>
      <c r="M843">
        <v>1</v>
      </c>
      <c r="N843">
        <v>0</v>
      </c>
      <c r="O843">
        <v>0</v>
      </c>
      <c r="P843" t="str">
        <f t="shared" si="121"/>
        <v>148883 0 1 0 0</v>
      </c>
      <c r="R843">
        <v>0</v>
      </c>
      <c r="S843">
        <v>1</v>
      </c>
      <c r="T843">
        <v>0</v>
      </c>
      <c r="U843">
        <v>0</v>
      </c>
      <c r="V843" t="str">
        <f t="shared" si="126"/>
        <v>148883 0 1 0 0</v>
      </c>
    </row>
    <row r="844" spans="3:22">
      <c r="C844">
        <v>18890</v>
      </c>
      <c r="D844">
        <f t="shared" si="123"/>
        <v>149106</v>
      </c>
      <c r="E844" cm="1">
        <f t="array" ref="E844">INDEX(C:C,MATCH(MIN(ABS(C:C-D844)),ABS(C:C-D844),0))</f>
        <v>149113</v>
      </c>
      <c r="G844">
        <f t="shared" si="124"/>
        <v>230</v>
      </c>
      <c r="L844">
        <v>0</v>
      </c>
      <c r="M844">
        <v>0</v>
      </c>
      <c r="N844">
        <v>1</v>
      </c>
      <c r="O844">
        <v>0</v>
      </c>
      <c r="P844" t="str">
        <f t="shared" si="121"/>
        <v>149113 0 0 1 0</v>
      </c>
      <c r="R844">
        <v>0</v>
      </c>
      <c r="S844">
        <v>0</v>
      </c>
      <c r="T844">
        <v>1</v>
      </c>
      <c r="U844">
        <v>0</v>
      </c>
      <c r="V844" t="str">
        <f t="shared" si="126"/>
        <v>149113 0 0 1 0</v>
      </c>
    </row>
    <row r="845" spans="3:22">
      <c r="C845">
        <v>18913</v>
      </c>
      <c r="D845">
        <f t="shared" si="123"/>
        <v>149224</v>
      </c>
      <c r="E845" cm="1">
        <f t="array" ref="E845">INDEX(C:C,MATCH(MIN(ABS(C:C-D845)),ABS(C:C-D845),0))</f>
        <v>149229</v>
      </c>
      <c r="G845">
        <f t="shared" si="124"/>
        <v>116</v>
      </c>
      <c r="L845">
        <v>0</v>
      </c>
      <c r="M845">
        <v>1</v>
      </c>
      <c r="N845">
        <v>0</v>
      </c>
      <c r="O845">
        <v>0</v>
      </c>
      <c r="P845" t="str">
        <f t="shared" si="121"/>
        <v>149229 0 1 0 0</v>
      </c>
      <c r="R845">
        <v>0</v>
      </c>
      <c r="S845">
        <v>1</v>
      </c>
      <c r="T845">
        <v>0</v>
      </c>
      <c r="U845">
        <v>0</v>
      </c>
      <c r="V845" t="str">
        <f t="shared" si="126"/>
        <v>149229 0 1 0 0</v>
      </c>
    </row>
    <row r="846" spans="3:22">
      <c r="C846">
        <v>18937</v>
      </c>
      <c r="D846">
        <f t="shared" si="123"/>
        <v>149461</v>
      </c>
      <c r="E846" cm="1">
        <f t="array" ref="E846">INDEX(C:C,MATCH(MIN(ABS(C:C-D846)),ABS(C:C-D846),0))</f>
        <v>149460</v>
      </c>
      <c r="G846">
        <f t="shared" si="124"/>
        <v>231</v>
      </c>
      <c r="L846">
        <v>0</v>
      </c>
      <c r="M846">
        <v>0</v>
      </c>
      <c r="N846">
        <v>0</v>
      </c>
      <c r="O846">
        <v>1</v>
      </c>
      <c r="P846" t="str">
        <f t="shared" si="121"/>
        <v>149460 0 0 0 1</v>
      </c>
      <c r="R846">
        <v>0</v>
      </c>
      <c r="S846">
        <v>0</v>
      </c>
      <c r="T846">
        <v>0</v>
      </c>
      <c r="U846">
        <v>1</v>
      </c>
      <c r="V846" t="str">
        <f t="shared" si="126"/>
        <v>149460 0 0 0 1</v>
      </c>
    </row>
    <row r="847" spans="3:22">
      <c r="C847">
        <v>18960</v>
      </c>
      <c r="D847">
        <f t="shared" si="123"/>
        <v>149688</v>
      </c>
      <c r="E847" cm="1">
        <f t="array" ref="E847">INDEX(C:C,MATCH(MIN(ABS(C:C-D847)),ABS(C:C-D847),0))</f>
        <v>149690</v>
      </c>
      <c r="G847">
        <f t="shared" si="124"/>
        <v>230</v>
      </c>
      <c r="L847">
        <v>1</v>
      </c>
      <c r="M847">
        <v>1</v>
      </c>
      <c r="N847">
        <v>1</v>
      </c>
      <c r="O847">
        <v>1</v>
      </c>
      <c r="P847" t="str">
        <f t="shared" si="121"/>
        <v>149690 1 1 1 1</v>
      </c>
      <c r="R847">
        <v>1</v>
      </c>
      <c r="S847">
        <v>0</v>
      </c>
      <c r="T847">
        <v>0</v>
      </c>
      <c r="U847">
        <v>1</v>
      </c>
      <c r="V847" t="str">
        <f t="shared" si="126"/>
        <v>149690 1 0 0 1</v>
      </c>
    </row>
    <row r="848" spans="3:22">
      <c r="C848">
        <v>18983</v>
      </c>
      <c r="D848">
        <f t="shared" si="123"/>
        <v>149924</v>
      </c>
      <c r="E848" cm="1">
        <f t="array" ref="E848">INDEX(C:C,MATCH(MIN(ABS(C:C-D848)),ABS(C:C-D848),0))</f>
        <v>149921</v>
      </c>
      <c r="G848">
        <f t="shared" si="124"/>
        <v>231</v>
      </c>
      <c r="L848">
        <v>0</v>
      </c>
      <c r="M848">
        <v>1</v>
      </c>
      <c r="N848">
        <v>1</v>
      </c>
      <c r="O848">
        <v>0</v>
      </c>
      <c r="P848" t="str">
        <f t="shared" si="121"/>
        <v>149921 0 1 1 0</v>
      </c>
      <c r="R848">
        <v>0</v>
      </c>
      <c r="S848">
        <v>0</v>
      </c>
      <c r="T848">
        <v>1</v>
      </c>
      <c r="U848">
        <v>0</v>
      </c>
      <c r="V848" t="str">
        <f t="shared" si="126"/>
        <v>149921 0 0 1 0</v>
      </c>
    </row>
    <row r="849" spans="1:22">
      <c r="C849">
        <v>19006</v>
      </c>
      <c r="D849">
        <f t="shared" si="123"/>
        <v>150037</v>
      </c>
      <c r="E849" cm="1">
        <f t="array" ref="E849">INDEX(C:C,MATCH(MIN(ABS(C:C-D849)),ABS(C:C-D849),0))</f>
        <v>150037</v>
      </c>
      <c r="G849">
        <f t="shared" si="124"/>
        <v>116</v>
      </c>
      <c r="L849">
        <v>0</v>
      </c>
      <c r="M849">
        <v>1</v>
      </c>
      <c r="N849">
        <v>1</v>
      </c>
      <c r="O849">
        <v>0</v>
      </c>
      <c r="P849" t="str">
        <f t="shared" si="121"/>
        <v>150037 0 1 1 0</v>
      </c>
      <c r="R849">
        <v>0</v>
      </c>
      <c r="S849">
        <v>0</v>
      </c>
      <c r="T849">
        <v>1</v>
      </c>
      <c r="U849">
        <v>0</v>
      </c>
    </row>
    <row r="850" spans="1:22">
      <c r="C850">
        <v>19029</v>
      </c>
      <c r="D850">
        <f t="shared" si="123"/>
        <v>150144</v>
      </c>
      <c r="E850" cm="1">
        <f t="array" ref="E850">INDEX(C:C,MATCH(MIN(ABS(C:C-D850)),ABS(C:C-D850),0))</f>
        <v>150152</v>
      </c>
      <c r="G850">
        <f t="shared" si="124"/>
        <v>115</v>
      </c>
      <c r="L850">
        <v>0</v>
      </c>
      <c r="M850">
        <v>1</v>
      </c>
      <c r="N850">
        <v>0</v>
      </c>
      <c r="O850">
        <v>0</v>
      </c>
      <c r="P850" t="str">
        <f t="shared" si="121"/>
        <v>150152 0 1 0 0</v>
      </c>
      <c r="R850">
        <v>0</v>
      </c>
      <c r="S850">
        <v>1</v>
      </c>
      <c r="T850">
        <v>0</v>
      </c>
      <c r="U850">
        <v>0</v>
      </c>
      <c r="V850" t="str">
        <f t="shared" ref="V850:V853" si="127">E850&amp;" "&amp;R850&amp;" "&amp;S850&amp;" "&amp;T850&amp;" "&amp;U850</f>
        <v>150152 0 1 0 0</v>
      </c>
    </row>
    <row r="851" spans="1:22">
      <c r="C851">
        <v>19052</v>
      </c>
      <c r="D851">
        <f t="shared" si="123"/>
        <v>150260</v>
      </c>
      <c r="E851" cm="1">
        <f t="array" ref="E851">INDEX(C:C,MATCH(MIN(ABS(C:C-D851)),ABS(C:C-D851),0))</f>
        <v>150267</v>
      </c>
      <c r="G851">
        <f t="shared" si="124"/>
        <v>115</v>
      </c>
      <c r="L851">
        <v>0</v>
      </c>
      <c r="M851">
        <v>0</v>
      </c>
      <c r="N851">
        <v>1</v>
      </c>
      <c r="O851">
        <v>0</v>
      </c>
      <c r="P851" t="str">
        <f t="shared" si="121"/>
        <v>150267 0 0 1 0</v>
      </c>
      <c r="R851">
        <v>0</v>
      </c>
      <c r="S851">
        <v>0</v>
      </c>
      <c r="T851">
        <v>1</v>
      </c>
      <c r="U851">
        <v>0</v>
      </c>
      <c r="V851" t="str">
        <f t="shared" si="127"/>
        <v>150267 0 0 1 0</v>
      </c>
    </row>
    <row r="852" spans="1:22">
      <c r="C852">
        <v>19075</v>
      </c>
      <c r="D852">
        <f t="shared" si="123"/>
        <v>150375</v>
      </c>
      <c r="E852" cm="1">
        <f t="array" ref="E852">INDEX(C:C,MATCH(MIN(ABS(C:C-D852)),ABS(C:C-D852),0))</f>
        <v>150383</v>
      </c>
      <c r="G852">
        <f t="shared" si="124"/>
        <v>116</v>
      </c>
      <c r="L852">
        <v>0</v>
      </c>
      <c r="M852">
        <v>0</v>
      </c>
      <c r="N852">
        <v>1</v>
      </c>
      <c r="O852">
        <v>0</v>
      </c>
      <c r="P852" t="str">
        <f t="shared" si="121"/>
        <v>150383 0 0 1 0</v>
      </c>
      <c r="R852">
        <v>0</v>
      </c>
      <c r="S852">
        <v>0</v>
      </c>
      <c r="T852">
        <v>1</v>
      </c>
      <c r="U852">
        <v>0</v>
      </c>
    </row>
    <row r="853" spans="1:22">
      <c r="C853">
        <v>19098</v>
      </c>
      <c r="D853">
        <f t="shared" ref="D853:D884" si="128">D473+66439</f>
        <v>150606</v>
      </c>
      <c r="E853" cm="1">
        <f t="array" ref="E853">INDEX(C:C,MATCH(MIN(ABS(C:C-D853)),ABS(C:C-D853),0))</f>
        <v>150613</v>
      </c>
      <c r="G853">
        <f t="shared" si="124"/>
        <v>230</v>
      </c>
      <c r="L853">
        <v>0</v>
      </c>
      <c r="M853">
        <v>1</v>
      </c>
      <c r="N853">
        <v>0</v>
      </c>
      <c r="O853">
        <v>0</v>
      </c>
      <c r="P853" t="str">
        <f t="shared" si="121"/>
        <v>150613 0 1 0 0</v>
      </c>
      <c r="R853">
        <v>0</v>
      </c>
      <c r="S853">
        <v>1</v>
      </c>
      <c r="T853">
        <v>0</v>
      </c>
      <c r="U853">
        <v>0</v>
      </c>
      <c r="V853" t="str">
        <f t="shared" si="127"/>
        <v>150613 0 1 0 0</v>
      </c>
    </row>
    <row r="854" spans="1:22">
      <c r="C854">
        <v>19121</v>
      </c>
      <c r="D854">
        <f t="shared" si="128"/>
        <v>150723</v>
      </c>
      <c r="E854" cm="1">
        <f t="array" ref="E854">INDEX(C:C,MATCH(MIN(ABS(C:C-D854)),ABS(C:C-D854),0))</f>
        <v>150729</v>
      </c>
      <c r="G854">
        <f t="shared" si="124"/>
        <v>116</v>
      </c>
      <c r="L854">
        <v>0</v>
      </c>
      <c r="M854">
        <v>1</v>
      </c>
      <c r="N854">
        <v>0</v>
      </c>
      <c r="O854">
        <v>0</v>
      </c>
      <c r="P854" t="str">
        <f t="shared" si="121"/>
        <v>150729 0 1 0 0</v>
      </c>
      <c r="R854">
        <v>0</v>
      </c>
      <c r="S854">
        <v>1</v>
      </c>
      <c r="T854">
        <v>0</v>
      </c>
      <c r="U854">
        <v>0</v>
      </c>
    </row>
    <row r="855" spans="1:22">
      <c r="C855">
        <v>19144</v>
      </c>
      <c r="D855">
        <f t="shared" si="128"/>
        <v>150836</v>
      </c>
      <c r="E855" cm="1">
        <f t="array" ref="E855">INDEX(C:C,MATCH(MIN(ABS(C:C-D855)),ABS(C:C-D855),0))</f>
        <v>150844</v>
      </c>
      <c r="G855">
        <f t="shared" si="124"/>
        <v>115</v>
      </c>
      <c r="L855">
        <v>0</v>
      </c>
      <c r="M855">
        <v>1</v>
      </c>
      <c r="N855">
        <v>0</v>
      </c>
      <c r="O855">
        <v>0</v>
      </c>
      <c r="P855" t="str">
        <f t="shared" si="121"/>
        <v>150844 0 1 0 0</v>
      </c>
      <c r="R855">
        <v>0</v>
      </c>
      <c r="S855">
        <v>1</v>
      </c>
      <c r="T855">
        <v>0</v>
      </c>
      <c r="U855">
        <v>0</v>
      </c>
      <c r="V855" t="str">
        <f t="shared" ref="V855:V860" si="129">E855&amp;" "&amp;R855&amp;" "&amp;S855&amp;" "&amp;T855&amp;" "&amp;U855</f>
        <v>150844 0 1 0 0</v>
      </c>
    </row>
    <row r="856" spans="1:22">
      <c r="C856">
        <v>19167</v>
      </c>
      <c r="D856">
        <f t="shared" si="128"/>
        <v>150955</v>
      </c>
      <c r="E856" cm="1">
        <f t="array" ref="E856">INDEX(C:C,MATCH(MIN(ABS(C:C-D856)),ABS(C:C-D856),0))</f>
        <v>150960</v>
      </c>
      <c r="G856">
        <f t="shared" si="124"/>
        <v>116</v>
      </c>
      <c r="L856">
        <v>0</v>
      </c>
      <c r="M856">
        <v>1</v>
      </c>
      <c r="N856">
        <v>1</v>
      </c>
      <c r="O856">
        <v>0</v>
      </c>
      <c r="P856" t="str">
        <f t="shared" si="121"/>
        <v>150960 0 1 1 0</v>
      </c>
      <c r="R856">
        <v>0</v>
      </c>
      <c r="S856">
        <v>1</v>
      </c>
      <c r="T856">
        <v>0</v>
      </c>
      <c r="U856">
        <v>0</v>
      </c>
    </row>
    <row r="857" spans="1:22">
      <c r="C857">
        <v>19190</v>
      </c>
      <c r="D857">
        <f t="shared" si="128"/>
        <v>151074</v>
      </c>
      <c r="E857" cm="1">
        <f t="array" ref="E857">INDEX(C:C,MATCH(MIN(ABS(C:C-D857)),ABS(C:C-D857),0))</f>
        <v>151075</v>
      </c>
      <c r="G857">
        <f t="shared" si="124"/>
        <v>115</v>
      </c>
      <c r="L857">
        <v>0</v>
      </c>
      <c r="M857">
        <v>1</v>
      </c>
      <c r="N857">
        <v>1</v>
      </c>
      <c r="O857">
        <v>0</v>
      </c>
      <c r="P857" t="str">
        <f t="shared" si="121"/>
        <v>151075 0 1 1 0</v>
      </c>
      <c r="R857">
        <v>0</v>
      </c>
      <c r="S857">
        <v>0</v>
      </c>
      <c r="T857">
        <v>1</v>
      </c>
      <c r="U857">
        <v>0</v>
      </c>
      <c r="V857" t="str">
        <f t="shared" si="129"/>
        <v>151075 0 0 1 0</v>
      </c>
    </row>
    <row r="858" spans="1:22">
      <c r="C858">
        <v>19213</v>
      </c>
      <c r="D858">
        <f t="shared" si="128"/>
        <v>151302</v>
      </c>
      <c r="E858" cm="1">
        <f t="array" ref="E858">INDEX(C:C,MATCH(MIN(ABS(C:C-D858)),ABS(C:C-D858),0))</f>
        <v>151306</v>
      </c>
      <c r="G858">
        <f t="shared" si="124"/>
        <v>231</v>
      </c>
      <c r="L858">
        <v>1</v>
      </c>
      <c r="M858">
        <v>0</v>
      </c>
      <c r="N858">
        <v>0</v>
      </c>
      <c r="O858">
        <v>0</v>
      </c>
      <c r="P858" t="str">
        <f t="shared" si="121"/>
        <v>151306 1 0 0 0</v>
      </c>
      <c r="R858">
        <v>1</v>
      </c>
      <c r="S858">
        <v>0</v>
      </c>
      <c r="T858">
        <v>0</v>
      </c>
      <c r="U858">
        <v>0</v>
      </c>
      <c r="V858" t="str">
        <f t="shared" si="129"/>
        <v>151306 1 0 0 0</v>
      </c>
    </row>
    <row r="859" spans="1:22">
      <c r="A859" t="s">
        <v>98</v>
      </c>
      <c r="C859">
        <v>19237</v>
      </c>
      <c r="D859">
        <f t="shared" si="128"/>
        <v>151535</v>
      </c>
      <c r="E859" cm="1">
        <f t="array" ref="E859">INDEX(C:C,MATCH(MIN(ABS(C:C-D859)),ABS(C:C-D859),0))</f>
        <v>151537</v>
      </c>
      <c r="G859">
        <f t="shared" si="124"/>
        <v>231</v>
      </c>
      <c r="L859">
        <v>1</v>
      </c>
      <c r="M859">
        <v>1</v>
      </c>
      <c r="N859">
        <v>1</v>
      </c>
      <c r="O859">
        <v>1</v>
      </c>
      <c r="P859" t="str">
        <f t="shared" si="121"/>
        <v>151537 1 1 1 1</v>
      </c>
      <c r="R859">
        <v>0</v>
      </c>
      <c r="S859">
        <v>0</v>
      </c>
      <c r="T859">
        <v>0</v>
      </c>
      <c r="U859">
        <v>1</v>
      </c>
      <c r="V859" t="str">
        <f t="shared" si="129"/>
        <v>151537 0 0 0 1</v>
      </c>
    </row>
    <row r="860" spans="1:22">
      <c r="C860">
        <v>19260</v>
      </c>
      <c r="D860">
        <f t="shared" si="128"/>
        <v>151771</v>
      </c>
      <c r="E860" cm="1">
        <f t="array" ref="E860">INDEX(C:C,MATCH(MIN(ABS(C:C-D860)),ABS(C:C-D860),0))</f>
        <v>151767</v>
      </c>
      <c r="G860">
        <f t="shared" si="124"/>
        <v>230</v>
      </c>
      <c r="L860">
        <v>0</v>
      </c>
      <c r="M860">
        <v>1</v>
      </c>
      <c r="N860">
        <v>1</v>
      </c>
      <c r="O860">
        <v>0</v>
      </c>
      <c r="P860" t="str">
        <f t="shared" ref="P860:P904" si="130">E860&amp;" "&amp;L860&amp;" "&amp;M860&amp;" "&amp;N860&amp;" "&amp;O860</f>
        <v>151767 0 1 1 0</v>
      </c>
      <c r="R860">
        <v>0</v>
      </c>
      <c r="S860">
        <v>0</v>
      </c>
      <c r="T860">
        <v>1</v>
      </c>
      <c r="U860">
        <v>0</v>
      </c>
      <c r="V860" t="str">
        <f t="shared" si="129"/>
        <v>151767 0 0 1 0</v>
      </c>
    </row>
    <row r="861" spans="1:22">
      <c r="C861">
        <v>19283</v>
      </c>
      <c r="D861">
        <f t="shared" si="128"/>
        <v>151884</v>
      </c>
      <c r="E861" cm="1">
        <f t="array" ref="E861">INDEX(C:C,MATCH(MIN(ABS(C:C-D861)),ABS(C:C-D861),0))</f>
        <v>151883</v>
      </c>
      <c r="G861">
        <f t="shared" si="124"/>
        <v>116</v>
      </c>
      <c r="L861">
        <v>0</v>
      </c>
      <c r="M861">
        <v>1</v>
      </c>
      <c r="N861">
        <v>1</v>
      </c>
      <c r="O861">
        <v>0</v>
      </c>
      <c r="P861" t="str">
        <f t="shared" si="130"/>
        <v>151883 0 1 1 0</v>
      </c>
      <c r="R861">
        <v>0</v>
      </c>
      <c r="S861">
        <v>0</v>
      </c>
      <c r="T861">
        <v>1</v>
      </c>
      <c r="U861">
        <v>0</v>
      </c>
    </row>
    <row r="862" spans="1:22">
      <c r="C862">
        <v>19306</v>
      </c>
      <c r="D862">
        <f t="shared" si="128"/>
        <v>151991</v>
      </c>
      <c r="E862" cm="1">
        <f t="array" ref="E862">INDEX(C:C,MATCH(MIN(ABS(C:C-D862)),ABS(C:C-D862),0))</f>
        <v>151998</v>
      </c>
      <c r="G862">
        <f t="shared" si="124"/>
        <v>115</v>
      </c>
      <c r="L862">
        <v>0</v>
      </c>
      <c r="M862">
        <v>1</v>
      </c>
      <c r="N862">
        <v>1</v>
      </c>
      <c r="O862">
        <v>0</v>
      </c>
      <c r="P862" t="str">
        <f t="shared" si="130"/>
        <v>151998 0 1 1 0</v>
      </c>
      <c r="R862">
        <v>0</v>
      </c>
      <c r="S862">
        <v>1</v>
      </c>
      <c r="T862">
        <v>0</v>
      </c>
      <c r="U862">
        <v>0</v>
      </c>
      <c r="V862" t="str">
        <f t="shared" ref="V862:V871" si="131">E862&amp;" "&amp;R862&amp;" "&amp;S862&amp;" "&amp;T862&amp;" "&amp;U862</f>
        <v>151998 0 1 0 0</v>
      </c>
    </row>
    <row r="863" spans="1:22">
      <c r="C863">
        <v>19329</v>
      </c>
      <c r="D863">
        <f t="shared" si="128"/>
        <v>152107</v>
      </c>
      <c r="E863" cm="1">
        <f t="array" ref="E863">INDEX(C:C,MATCH(MIN(ABS(C:C-D863)),ABS(C:C-D863),0))</f>
        <v>152113</v>
      </c>
      <c r="G863">
        <f t="shared" si="124"/>
        <v>115</v>
      </c>
      <c r="L863">
        <v>0</v>
      </c>
      <c r="M863">
        <v>1</v>
      </c>
      <c r="N863">
        <v>1</v>
      </c>
      <c r="O863">
        <v>0</v>
      </c>
      <c r="P863" t="str">
        <f t="shared" si="130"/>
        <v>152113 0 1 1 0</v>
      </c>
      <c r="R863">
        <v>0</v>
      </c>
      <c r="S863">
        <v>0</v>
      </c>
      <c r="T863">
        <v>1</v>
      </c>
      <c r="U863">
        <v>0</v>
      </c>
      <c r="V863" t="str">
        <f t="shared" si="131"/>
        <v>152113 0 0 1 0</v>
      </c>
    </row>
    <row r="864" spans="1:22">
      <c r="C864">
        <v>19352</v>
      </c>
      <c r="D864">
        <f t="shared" si="128"/>
        <v>152222</v>
      </c>
      <c r="E864" cm="1">
        <f t="array" ref="E864">INDEX(C:C,MATCH(MIN(ABS(C:C-D864)),ABS(C:C-D864),0))</f>
        <v>152229</v>
      </c>
      <c r="G864">
        <f t="shared" si="124"/>
        <v>116</v>
      </c>
      <c r="L864">
        <v>0</v>
      </c>
      <c r="M864">
        <v>1</v>
      </c>
      <c r="N864">
        <v>1</v>
      </c>
      <c r="O864">
        <v>0</v>
      </c>
      <c r="P864" t="str">
        <f t="shared" si="130"/>
        <v>152229 0 1 1 0</v>
      </c>
      <c r="R864">
        <v>0</v>
      </c>
      <c r="S864">
        <v>0</v>
      </c>
      <c r="T864">
        <v>1</v>
      </c>
      <c r="U864">
        <v>0</v>
      </c>
    </row>
    <row r="865" spans="3:22">
      <c r="C865">
        <v>19375</v>
      </c>
      <c r="D865">
        <f t="shared" si="128"/>
        <v>152453</v>
      </c>
      <c r="E865" cm="1">
        <f t="array" ref="E865">INDEX(C:C,MATCH(MIN(ABS(C:C-D865)),ABS(C:C-D865),0))</f>
        <v>152460</v>
      </c>
      <c r="G865">
        <f t="shared" si="124"/>
        <v>231</v>
      </c>
      <c r="L865">
        <v>0</v>
      </c>
      <c r="M865">
        <v>1</v>
      </c>
      <c r="N865">
        <v>1</v>
      </c>
      <c r="O865">
        <v>0</v>
      </c>
      <c r="P865" t="str">
        <f t="shared" si="130"/>
        <v>152460 0 1 1 0</v>
      </c>
      <c r="R865">
        <v>0</v>
      </c>
      <c r="S865">
        <v>1</v>
      </c>
      <c r="T865">
        <v>0</v>
      </c>
      <c r="U865">
        <v>0</v>
      </c>
      <c r="V865" t="str">
        <f t="shared" si="131"/>
        <v>152460 0 1 0 0</v>
      </c>
    </row>
    <row r="866" spans="3:22">
      <c r="C866">
        <v>19398</v>
      </c>
      <c r="D866">
        <f t="shared" si="128"/>
        <v>152570</v>
      </c>
      <c r="E866" cm="1">
        <f t="array" ref="E866">INDEX(C:C,MATCH(MIN(ABS(C:C-D866)),ABS(C:C-D866),0))</f>
        <v>152575</v>
      </c>
      <c r="G866">
        <f t="shared" si="124"/>
        <v>115</v>
      </c>
      <c r="L866">
        <v>0</v>
      </c>
      <c r="M866">
        <v>1</v>
      </c>
      <c r="N866">
        <v>1</v>
      </c>
      <c r="O866">
        <v>0</v>
      </c>
      <c r="P866" t="str">
        <f t="shared" si="130"/>
        <v>152575 0 1 1 0</v>
      </c>
      <c r="R866">
        <v>0</v>
      </c>
      <c r="S866">
        <v>0</v>
      </c>
      <c r="T866">
        <v>1</v>
      </c>
      <c r="U866">
        <v>0</v>
      </c>
      <c r="V866" t="str">
        <f t="shared" si="131"/>
        <v>152575 0 0 1 0</v>
      </c>
    </row>
    <row r="867" spans="3:22">
      <c r="C867">
        <v>19421</v>
      </c>
      <c r="D867">
        <f t="shared" si="128"/>
        <v>152799</v>
      </c>
      <c r="E867" cm="1">
        <f t="array" ref="E867">INDEX(C:C,MATCH(MIN(ABS(C:C-D867)),ABS(C:C-D867),0))</f>
        <v>152806</v>
      </c>
      <c r="G867">
        <f t="shared" si="124"/>
        <v>231</v>
      </c>
      <c r="L867">
        <v>0</v>
      </c>
      <c r="M867">
        <v>1</v>
      </c>
      <c r="N867">
        <v>1</v>
      </c>
      <c r="O867">
        <v>0</v>
      </c>
      <c r="P867" t="str">
        <f t="shared" si="130"/>
        <v>152806 0 1 1 0</v>
      </c>
      <c r="R867">
        <v>0</v>
      </c>
      <c r="S867">
        <v>1</v>
      </c>
      <c r="T867">
        <v>0</v>
      </c>
      <c r="U867">
        <v>0</v>
      </c>
      <c r="V867" t="str">
        <f t="shared" si="131"/>
        <v>152806 0 1 0 0</v>
      </c>
    </row>
    <row r="868" spans="3:22">
      <c r="C868">
        <v>19444</v>
      </c>
      <c r="D868">
        <f t="shared" si="128"/>
        <v>152917</v>
      </c>
      <c r="E868" cm="1">
        <f t="array" ref="E868">INDEX(C:C,MATCH(MIN(ABS(C:C-D868)),ABS(C:C-D868),0))</f>
        <v>152921</v>
      </c>
      <c r="G868">
        <f t="shared" si="124"/>
        <v>115</v>
      </c>
      <c r="L868">
        <v>0</v>
      </c>
      <c r="M868">
        <v>1</v>
      </c>
      <c r="N868">
        <v>1</v>
      </c>
      <c r="O868">
        <v>0</v>
      </c>
      <c r="P868" t="str">
        <f t="shared" si="130"/>
        <v>152921 0 1 1 0</v>
      </c>
      <c r="R868">
        <v>0</v>
      </c>
      <c r="S868">
        <v>0</v>
      </c>
      <c r="T868">
        <v>1</v>
      </c>
      <c r="U868">
        <v>0</v>
      </c>
      <c r="V868" t="str">
        <f t="shared" si="131"/>
        <v>152921 0 0 1 0</v>
      </c>
    </row>
    <row r="869" spans="3:22">
      <c r="C869">
        <v>19467</v>
      </c>
      <c r="D869">
        <f t="shared" si="128"/>
        <v>153154</v>
      </c>
      <c r="E869" cm="1">
        <f t="array" ref="E869">INDEX(C:C,MATCH(MIN(ABS(C:C-D869)),ABS(C:C-D869),0))</f>
        <v>153152</v>
      </c>
      <c r="G869">
        <f t="shared" si="124"/>
        <v>231</v>
      </c>
      <c r="L869">
        <v>1</v>
      </c>
      <c r="M869">
        <v>0</v>
      </c>
      <c r="N869">
        <v>0</v>
      </c>
      <c r="O869">
        <v>1</v>
      </c>
      <c r="P869" t="str">
        <f t="shared" si="130"/>
        <v>153152 1 0 0 1</v>
      </c>
      <c r="R869">
        <v>1</v>
      </c>
      <c r="S869">
        <v>0</v>
      </c>
      <c r="T869">
        <v>0</v>
      </c>
      <c r="U869">
        <v>0</v>
      </c>
      <c r="V869" t="str">
        <f t="shared" si="131"/>
        <v>153152 1 0 0 0</v>
      </c>
    </row>
    <row r="870" spans="3:22">
      <c r="C870">
        <v>19490</v>
      </c>
      <c r="D870">
        <f t="shared" si="128"/>
        <v>153381</v>
      </c>
      <c r="E870" cm="1">
        <f t="array" ref="E870">INDEX(C:C,MATCH(MIN(ABS(C:C-D870)),ABS(C:C-D870),0))</f>
        <v>153383</v>
      </c>
      <c r="G870">
        <f t="shared" si="124"/>
        <v>231</v>
      </c>
      <c r="L870">
        <v>1</v>
      </c>
      <c r="M870">
        <v>0</v>
      </c>
      <c r="N870">
        <v>0</v>
      </c>
      <c r="O870">
        <v>1</v>
      </c>
      <c r="P870" t="str">
        <f t="shared" si="130"/>
        <v>153383 1 0 0 1</v>
      </c>
      <c r="R870">
        <v>1</v>
      </c>
      <c r="S870">
        <v>0</v>
      </c>
      <c r="T870">
        <v>0</v>
      </c>
      <c r="U870">
        <v>1</v>
      </c>
      <c r="V870" t="str">
        <f t="shared" si="131"/>
        <v>153383 1 0 0 1</v>
      </c>
    </row>
    <row r="871" spans="3:22">
      <c r="C871">
        <v>19513</v>
      </c>
      <c r="D871">
        <f t="shared" si="128"/>
        <v>153617</v>
      </c>
      <c r="E871" cm="1">
        <f t="array" ref="E871">INDEX(C:C,MATCH(MIN(ABS(C:C-D871)),ABS(C:C-D871),0))</f>
        <v>153613</v>
      </c>
      <c r="G871">
        <f t="shared" si="124"/>
        <v>230</v>
      </c>
      <c r="L871">
        <v>0</v>
      </c>
      <c r="M871">
        <v>1</v>
      </c>
      <c r="N871">
        <v>1</v>
      </c>
      <c r="O871">
        <v>0</v>
      </c>
      <c r="P871" t="str">
        <f t="shared" si="130"/>
        <v>153613 0 1 1 0</v>
      </c>
      <c r="R871">
        <v>0</v>
      </c>
      <c r="S871">
        <v>1</v>
      </c>
      <c r="T871">
        <v>0</v>
      </c>
      <c r="U871">
        <v>0</v>
      </c>
      <c r="V871" t="str">
        <f t="shared" si="131"/>
        <v>153613 0 1 0 0</v>
      </c>
    </row>
    <row r="872" spans="3:22">
      <c r="C872">
        <v>19537</v>
      </c>
      <c r="D872">
        <f t="shared" si="128"/>
        <v>153730</v>
      </c>
      <c r="E872" cm="1">
        <f t="array" ref="E872">INDEX(C:C,MATCH(MIN(ABS(C:C-D872)),ABS(C:C-D872),0))</f>
        <v>153729</v>
      </c>
      <c r="G872">
        <f t="shared" si="124"/>
        <v>116</v>
      </c>
      <c r="L872">
        <v>0</v>
      </c>
      <c r="M872">
        <v>1</v>
      </c>
      <c r="N872">
        <v>1</v>
      </c>
      <c r="O872">
        <v>0</v>
      </c>
      <c r="P872" t="str">
        <f t="shared" si="130"/>
        <v>153729 0 1 1 0</v>
      </c>
      <c r="R872">
        <v>0</v>
      </c>
      <c r="S872">
        <v>1</v>
      </c>
      <c r="T872">
        <v>0</v>
      </c>
      <c r="U872">
        <v>0</v>
      </c>
    </row>
    <row r="873" spans="3:22">
      <c r="C873">
        <v>19560</v>
      </c>
      <c r="D873">
        <f t="shared" si="128"/>
        <v>153837</v>
      </c>
      <c r="E873" cm="1">
        <f t="array" ref="E873">INDEX(C:C,MATCH(MIN(ABS(C:C-D873)),ABS(C:C-D873),0))</f>
        <v>153844</v>
      </c>
      <c r="G873">
        <f t="shared" si="124"/>
        <v>115</v>
      </c>
      <c r="L873">
        <v>0</v>
      </c>
      <c r="M873">
        <v>1</v>
      </c>
      <c r="N873">
        <v>1</v>
      </c>
      <c r="O873">
        <v>0</v>
      </c>
      <c r="P873" t="str">
        <f t="shared" si="130"/>
        <v>153844 0 1 1 0</v>
      </c>
      <c r="R873">
        <v>0</v>
      </c>
      <c r="S873">
        <v>0</v>
      </c>
      <c r="T873">
        <v>1</v>
      </c>
      <c r="U873">
        <v>0</v>
      </c>
      <c r="V873" t="str">
        <f t="shared" ref="V873:V882" si="132">E873&amp;" "&amp;R873&amp;" "&amp;S873&amp;" "&amp;T873&amp;" "&amp;U873</f>
        <v>153844 0 0 1 0</v>
      </c>
    </row>
    <row r="874" spans="3:22">
      <c r="C874">
        <v>19583</v>
      </c>
      <c r="D874">
        <f t="shared" si="128"/>
        <v>153953</v>
      </c>
      <c r="E874" cm="1">
        <f t="array" ref="E874">INDEX(C:C,MATCH(MIN(ABS(C:C-D874)),ABS(C:C-D874),0))</f>
        <v>153960</v>
      </c>
      <c r="G874">
        <f t="shared" si="124"/>
        <v>116</v>
      </c>
      <c r="L874">
        <v>0</v>
      </c>
      <c r="M874">
        <v>1</v>
      </c>
      <c r="N874">
        <v>1</v>
      </c>
      <c r="O874">
        <v>0</v>
      </c>
      <c r="P874" t="str">
        <f t="shared" si="130"/>
        <v>153960 0 1 1 0</v>
      </c>
      <c r="R874">
        <v>0</v>
      </c>
      <c r="S874">
        <v>1</v>
      </c>
      <c r="T874">
        <v>0</v>
      </c>
      <c r="U874">
        <v>0</v>
      </c>
      <c r="V874" t="str">
        <f t="shared" si="132"/>
        <v>153960 0 1 0 0</v>
      </c>
    </row>
    <row r="875" spans="3:22">
      <c r="C875">
        <v>19606</v>
      </c>
      <c r="D875">
        <f t="shared" si="128"/>
        <v>154068</v>
      </c>
      <c r="E875" cm="1">
        <f t="array" ref="E875">INDEX(C:C,MATCH(MIN(ABS(C:C-D875)),ABS(C:C-D875),0))</f>
        <v>154075</v>
      </c>
      <c r="G875">
        <f t="shared" si="124"/>
        <v>115</v>
      </c>
      <c r="L875">
        <v>0</v>
      </c>
      <c r="M875">
        <v>1</v>
      </c>
      <c r="N875">
        <v>1</v>
      </c>
      <c r="O875">
        <v>0</v>
      </c>
      <c r="P875" t="str">
        <f t="shared" si="130"/>
        <v>154075 0 1 1 0</v>
      </c>
      <c r="R875">
        <v>0</v>
      </c>
      <c r="S875">
        <v>1</v>
      </c>
      <c r="T875">
        <v>0</v>
      </c>
      <c r="U875">
        <v>0</v>
      </c>
    </row>
    <row r="876" spans="3:22">
      <c r="C876">
        <v>19629</v>
      </c>
      <c r="D876">
        <f t="shared" si="128"/>
        <v>154299</v>
      </c>
      <c r="E876" cm="1">
        <f t="array" ref="E876">INDEX(C:C,MATCH(MIN(ABS(C:C-D876)),ABS(C:C-D876),0))</f>
        <v>154306</v>
      </c>
      <c r="G876">
        <f t="shared" si="124"/>
        <v>231</v>
      </c>
      <c r="L876">
        <v>0</v>
      </c>
      <c r="M876">
        <v>1</v>
      </c>
      <c r="N876">
        <v>1</v>
      </c>
      <c r="O876">
        <v>0</v>
      </c>
      <c r="P876" t="str">
        <f t="shared" si="130"/>
        <v>154306 0 1 1 0</v>
      </c>
      <c r="R876">
        <v>0</v>
      </c>
      <c r="S876">
        <v>0</v>
      </c>
      <c r="T876">
        <v>1</v>
      </c>
      <c r="U876">
        <v>0</v>
      </c>
      <c r="V876" t="str">
        <f t="shared" si="132"/>
        <v>154306 0 0 1 0</v>
      </c>
    </row>
    <row r="877" spans="3:22">
      <c r="C877">
        <v>19652</v>
      </c>
      <c r="D877">
        <f t="shared" si="128"/>
        <v>154416</v>
      </c>
      <c r="E877" cm="1">
        <f t="array" ref="E877">INDEX(C:C,MATCH(MIN(ABS(C:C-D877)),ABS(C:C-D877),0))</f>
        <v>154421</v>
      </c>
      <c r="G877">
        <f t="shared" si="124"/>
        <v>115</v>
      </c>
      <c r="L877">
        <v>0</v>
      </c>
      <c r="M877">
        <v>1</v>
      </c>
      <c r="N877">
        <v>1</v>
      </c>
      <c r="O877">
        <v>0</v>
      </c>
      <c r="P877" t="str">
        <f t="shared" si="130"/>
        <v>154421 0 1 1 0</v>
      </c>
      <c r="R877">
        <v>0</v>
      </c>
      <c r="S877">
        <v>1</v>
      </c>
      <c r="T877">
        <v>0</v>
      </c>
      <c r="U877">
        <v>0</v>
      </c>
      <c r="V877" t="str">
        <f t="shared" si="132"/>
        <v>154421 0 1 0 0</v>
      </c>
    </row>
    <row r="878" spans="3:22">
      <c r="C878">
        <v>19675</v>
      </c>
      <c r="D878">
        <f t="shared" si="128"/>
        <v>154645</v>
      </c>
      <c r="E878" cm="1">
        <f t="array" ref="E878">INDEX(C:C,MATCH(MIN(ABS(C:C-D878)),ABS(C:C-D878),0))</f>
        <v>154652</v>
      </c>
      <c r="G878">
        <f t="shared" si="124"/>
        <v>231</v>
      </c>
      <c r="L878">
        <v>0</v>
      </c>
      <c r="M878">
        <v>1</v>
      </c>
      <c r="N878">
        <v>1</v>
      </c>
      <c r="O878">
        <v>0</v>
      </c>
      <c r="P878" t="str">
        <f t="shared" si="130"/>
        <v>154652 0 1 1 0</v>
      </c>
      <c r="R878">
        <v>0</v>
      </c>
      <c r="S878">
        <v>0</v>
      </c>
      <c r="T878">
        <v>1</v>
      </c>
      <c r="U878">
        <v>0</v>
      </c>
      <c r="V878" t="str">
        <f t="shared" si="132"/>
        <v>154652 0 0 1 0</v>
      </c>
    </row>
    <row r="879" spans="3:22">
      <c r="C879">
        <v>19698</v>
      </c>
      <c r="D879">
        <f t="shared" si="128"/>
        <v>154763</v>
      </c>
      <c r="E879" cm="1">
        <f t="array" ref="E879">INDEX(C:C,MATCH(MIN(ABS(C:C-D879)),ABS(C:C-D879),0))</f>
        <v>154767</v>
      </c>
      <c r="G879">
        <f t="shared" si="124"/>
        <v>115</v>
      </c>
      <c r="L879">
        <v>0</v>
      </c>
      <c r="M879">
        <v>1</v>
      </c>
      <c r="N879">
        <v>1</v>
      </c>
      <c r="O879">
        <v>0</v>
      </c>
      <c r="P879" t="str">
        <f t="shared" si="130"/>
        <v>154767 0 1 1 0</v>
      </c>
      <c r="R879">
        <v>0</v>
      </c>
      <c r="S879">
        <v>1</v>
      </c>
      <c r="T879">
        <v>0</v>
      </c>
      <c r="U879">
        <v>0</v>
      </c>
      <c r="V879" t="str">
        <f t="shared" si="132"/>
        <v>154767 0 1 0 0</v>
      </c>
    </row>
    <row r="880" spans="3:22">
      <c r="C880">
        <v>19721</v>
      </c>
      <c r="D880">
        <f t="shared" si="128"/>
        <v>155000</v>
      </c>
      <c r="E880" cm="1">
        <f t="array" ref="E880">INDEX(C:C,MATCH(MIN(ABS(C:C-D880)),ABS(C:C-D880),0))</f>
        <v>154998</v>
      </c>
      <c r="G880">
        <f t="shared" si="124"/>
        <v>231</v>
      </c>
      <c r="L880">
        <v>1</v>
      </c>
      <c r="M880">
        <v>1</v>
      </c>
      <c r="N880">
        <v>1</v>
      </c>
      <c r="O880">
        <v>1</v>
      </c>
      <c r="P880" t="str">
        <f t="shared" si="130"/>
        <v>154998 1 1 1 1</v>
      </c>
      <c r="R880">
        <v>0</v>
      </c>
      <c r="S880">
        <v>0</v>
      </c>
      <c r="T880">
        <v>0</v>
      </c>
      <c r="U880">
        <v>1</v>
      </c>
      <c r="V880" t="str">
        <f t="shared" si="132"/>
        <v>154998 0 0 0 1</v>
      </c>
    </row>
    <row r="881" spans="3:22">
      <c r="C881">
        <v>19744</v>
      </c>
      <c r="D881">
        <f t="shared" si="128"/>
        <v>155227</v>
      </c>
      <c r="E881" cm="1">
        <f t="array" ref="E881">INDEX(C:C,MATCH(MIN(ABS(C:C-D881)),ABS(C:C-D881),0))</f>
        <v>155229</v>
      </c>
      <c r="G881">
        <f t="shared" si="124"/>
        <v>231</v>
      </c>
      <c r="L881">
        <v>1</v>
      </c>
      <c r="M881">
        <v>0</v>
      </c>
      <c r="N881">
        <v>1</v>
      </c>
      <c r="O881">
        <v>1</v>
      </c>
      <c r="P881" t="str">
        <f t="shared" si="130"/>
        <v>155229 1 0 1 1</v>
      </c>
      <c r="R881">
        <v>0</v>
      </c>
      <c r="S881">
        <v>0</v>
      </c>
      <c r="T881">
        <v>0</v>
      </c>
      <c r="U881">
        <v>1</v>
      </c>
      <c r="V881" t="str">
        <f t="shared" si="132"/>
        <v>155229 0 0 0 1</v>
      </c>
    </row>
    <row r="882" spans="3:22">
      <c r="C882">
        <v>19767</v>
      </c>
      <c r="D882">
        <f t="shared" si="128"/>
        <v>155463</v>
      </c>
      <c r="E882" cm="1">
        <f t="array" ref="E882">INDEX(C:C,MATCH(MIN(ABS(C:C-D882)),ABS(C:C-D882),0))</f>
        <v>155460</v>
      </c>
      <c r="G882">
        <f t="shared" si="124"/>
        <v>231</v>
      </c>
      <c r="L882">
        <v>0</v>
      </c>
      <c r="M882">
        <v>1</v>
      </c>
      <c r="N882">
        <v>1</v>
      </c>
      <c r="O882">
        <v>0</v>
      </c>
      <c r="P882" t="str">
        <f t="shared" si="130"/>
        <v>155460 0 1 1 0</v>
      </c>
      <c r="R882">
        <v>0</v>
      </c>
      <c r="S882">
        <v>0</v>
      </c>
      <c r="T882">
        <v>1</v>
      </c>
      <c r="U882">
        <v>0</v>
      </c>
      <c r="V882" t="str">
        <f t="shared" si="132"/>
        <v>155460 0 0 1 0</v>
      </c>
    </row>
    <row r="883" spans="3:22">
      <c r="C883">
        <v>19790</v>
      </c>
      <c r="D883">
        <f t="shared" si="128"/>
        <v>155576</v>
      </c>
      <c r="E883" cm="1">
        <f t="array" ref="E883">INDEX(C:C,MATCH(MIN(ABS(C:C-D883)),ABS(C:C-D883),0))</f>
        <v>155575</v>
      </c>
      <c r="G883">
        <f t="shared" si="124"/>
        <v>115</v>
      </c>
      <c r="L883">
        <v>0</v>
      </c>
      <c r="M883">
        <v>1</v>
      </c>
      <c r="N883">
        <v>1</v>
      </c>
      <c r="O883">
        <v>0</v>
      </c>
      <c r="P883" t="str">
        <f t="shared" si="130"/>
        <v>155575 0 1 1 0</v>
      </c>
      <c r="R883">
        <v>0</v>
      </c>
      <c r="S883">
        <v>0</v>
      </c>
      <c r="T883">
        <v>1</v>
      </c>
      <c r="U883">
        <v>0</v>
      </c>
    </row>
    <row r="884" spans="3:22">
      <c r="C884">
        <v>19813</v>
      </c>
      <c r="D884">
        <f t="shared" si="128"/>
        <v>155683</v>
      </c>
      <c r="E884" cm="1">
        <f t="array" ref="E884">INDEX(C:C,MATCH(MIN(ABS(C:C-D884)),ABS(C:C-D884),0))</f>
        <v>155690</v>
      </c>
      <c r="G884">
        <f t="shared" si="124"/>
        <v>115</v>
      </c>
      <c r="L884">
        <v>0</v>
      </c>
      <c r="M884">
        <v>1</v>
      </c>
      <c r="N884">
        <v>1</v>
      </c>
      <c r="O884">
        <v>0</v>
      </c>
      <c r="P884" t="str">
        <f t="shared" si="130"/>
        <v>155690 0 1 1 0</v>
      </c>
      <c r="R884">
        <v>0</v>
      </c>
      <c r="S884">
        <v>1</v>
      </c>
      <c r="T884">
        <v>0</v>
      </c>
      <c r="U884">
        <v>0</v>
      </c>
      <c r="V884" t="str">
        <f t="shared" ref="V884:V893" si="133">E884&amp;" "&amp;R884&amp;" "&amp;S884&amp;" "&amp;T884&amp;" "&amp;U884</f>
        <v>155690 0 1 0 0</v>
      </c>
    </row>
    <row r="885" spans="3:22">
      <c r="C885">
        <v>19837</v>
      </c>
      <c r="D885">
        <f t="shared" ref="D885:D904" si="134">D505+66439</f>
        <v>155799</v>
      </c>
      <c r="E885" cm="1">
        <f t="array" ref="E885">INDEX(C:C,MATCH(MIN(ABS(C:C-D885)),ABS(C:C-D885),0))</f>
        <v>155806</v>
      </c>
      <c r="G885">
        <f t="shared" si="124"/>
        <v>116</v>
      </c>
      <c r="L885">
        <v>0</v>
      </c>
      <c r="M885">
        <v>1</v>
      </c>
      <c r="N885">
        <v>1</v>
      </c>
      <c r="O885">
        <v>0</v>
      </c>
      <c r="P885" t="str">
        <f t="shared" si="130"/>
        <v>155806 0 1 1 0</v>
      </c>
      <c r="R885">
        <v>0</v>
      </c>
      <c r="S885">
        <v>0</v>
      </c>
      <c r="T885">
        <v>1</v>
      </c>
      <c r="U885">
        <v>0</v>
      </c>
      <c r="V885" t="str">
        <f t="shared" si="133"/>
        <v>155806 0 0 1 0</v>
      </c>
    </row>
    <row r="886" spans="3:22">
      <c r="C886">
        <v>19860</v>
      </c>
      <c r="D886">
        <f t="shared" si="134"/>
        <v>155914</v>
      </c>
      <c r="E886" cm="1">
        <f t="array" ref="E886">INDEX(C:C,MATCH(MIN(ABS(C:C-D886)),ABS(C:C-D886),0))</f>
        <v>155921</v>
      </c>
      <c r="G886">
        <f t="shared" si="124"/>
        <v>115</v>
      </c>
      <c r="L886">
        <v>0</v>
      </c>
      <c r="M886">
        <v>1</v>
      </c>
      <c r="N886">
        <v>1</v>
      </c>
      <c r="O886">
        <v>0</v>
      </c>
      <c r="P886" t="str">
        <f t="shared" si="130"/>
        <v>155921 0 1 1 0</v>
      </c>
      <c r="R886">
        <v>0</v>
      </c>
      <c r="S886">
        <v>0</v>
      </c>
      <c r="T886">
        <v>1</v>
      </c>
      <c r="U886">
        <v>0</v>
      </c>
    </row>
    <row r="887" spans="3:22">
      <c r="C887">
        <v>19883</v>
      </c>
      <c r="D887">
        <f t="shared" si="134"/>
        <v>156145</v>
      </c>
      <c r="E887" cm="1">
        <f t="array" ref="E887">INDEX(C:C,MATCH(MIN(ABS(C:C-D887)),ABS(C:C-D887),0))</f>
        <v>156152</v>
      </c>
      <c r="G887">
        <f t="shared" si="124"/>
        <v>231</v>
      </c>
      <c r="L887">
        <v>0</v>
      </c>
      <c r="M887">
        <v>1</v>
      </c>
      <c r="N887">
        <v>0</v>
      </c>
      <c r="O887">
        <v>0</v>
      </c>
      <c r="P887" t="str">
        <f t="shared" si="130"/>
        <v>156152 0 1 0 0</v>
      </c>
      <c r="R887">
        <v>0</v>
      </c>
      <c r="S887">
        <v>1</v>
      </c>
      <c r="T887">
        <v>0</v>
      </c>
      <c r="U887">
        <v>0</v>
      </c>
      <c r="V887" t="str">
        <f t="shared" si="133"/>
        <v>156152 0 1 0 0</v>
      </c>
    </row>
    <row r="888" spans="3:22">
      <c r="C888">
        <v>19906</v>
      </c>
      <c r="D888">
        <f t="shared" si="134"/>
        <v>156262</v>
      </c>
      <c r="E888" cm="1">
        <f t="array" ref="E888">INDEX(C:C,MATCH(MIN(ABS(C:C-D888)),ABS(C:C-D888),0))</f>
        <v>156267</v>
      </c>
      <c r="G888">
        <f t="shared" si="124"/>
        <v>115</v>
      </c>
      <c r="L888">
        <v>0</v>
      </c>
      <c r="M888">
        <v>0</v>
      </c>
      <c r="N888">
        <v>1</v>
      </c>
      <c r="O888">
        <v>0</v>
      </c>
      <c r="P888" t="str">
        <f t="shared" si="130"/>
        <v>156267 0 0 1 0</v>
      </c>
      <c r="R888">
        <v>0</v>
      </c>
      <c r="S888">
        <v>0</v>
      </c>
      <c r="T888">
        <v>1</v>
      </c>
      <c r="U888">
        <v>0</v>
      </c>
      <c r="V888" t="str">
        <f t="shared" si="133"/>
        <v>156267 0 0 1 0</v>
      </c>
    </row>
    <row r="889" spans="3:22">
      <c r="C889">
        <v>19929</v>
      </c>
      <c r="D889">
        <f t="shared" si="134"/>
        <v>156491</v>
      </c>
      <c r="E889" cm="1">
        <f t="array" ref="E889">INDEX(C:C,MATCH(MIN(ABS(C:C-D889)),ABS(C:C-D889),0))</f>
        <v>156498</v>
      </c>
      <c r="G889">
        <f t="shared" si="124"/>
        <v>231</v>
      </c>
      <c r="L889">
        <v>0</v>
      </c>
      <c r="M889">
        <v>1</v>
      </c>
      <c r="N889">
        <v>0</v>
      </c>
      <c r="O889">
        <v>0</v>
      </c>
      <c r="P889" t="str">
        <f t="shared" si="130"/>
        <v>156498 0 1 0 0</v>
      </c>
      <c r="R889">
        <v>0</v>
      </c>
      <c r="S889">
        <v>1</v>
      </c>
      <c r="T889">
        <v>0</v>
      </c>
      <c r="U889">
        <v>0</v>
      </c>
      <c r="V889" t="str">
        <f t="shared" si="133"/>
        <v>156498 0 1 0 0</v>
      </c>
    </row>
    <row r="890" spans="3:22">
      <c r="C890">
        <v>19952</v>
      </c>
      <c r="D890">
        <f t="shared" si="134"/>
        <v>156609</v>
      </c>
      <c r="E890" cm="1">
        <f t="array" ref="E890">INDEX(C:C,MATCH(MIN(ABS(C:C-D890)),ABS(C:C-D890),0))</f>
        <v>156613</v>
      </c>
      <c r="G890">
        <f t="shared" ref="G890:G904" si="135">E890-E889</f>
        <v>115</v>
      </c>
      <c r="L890">
        <v>0</v>
      </c>
      <c r="M890">
        <v>0</v>
      </c>
      <c r="N890">
        <v>1</v>
      </c>
      <c r="O890">
        <v>0</v>
      </c>
      <c r="P890" t="str">
        <f t="shared" si="130"/>
        <v>156613 0 0 1 0</v>
      </c>
      <c r="R890">
        <v>0</v>
      </c>
      <c r="S890">
        <v>0</v>
      </c>
      <c r="T890">
        <v>1</v>
      </c>
      <c r="U890">
        <v>0</v>
      </c>
      <c r="V890" t="str">
        <f t="shared" si="133"/>
        <v>156613 0 0 1 0</v>
      </c>
    </row>
    <row r="891" spans="3:22">
      <c r="C891">
        <v>19975</v>
      </c>
      <c r="D891">
        <f t="shared" si="134"/>
        <v>156846</v>
      </c>
      <c r="E891" cm="1">
        <f t="array" ref="E891">INDEX(C:C,MATCH(MIN(ABS(C:C-D891)),ABS(C:C-D891),0))</f>
        <v>156844</v>
      </c>
      <c r="G891">
        <f t="shared" si="135"/>
        <v>231</v>
      </c>
      <c r="L891">
        <v>1</v>
      </c>
      <c r="M891">
        <v>1</v>
      </c>
      <c r="N891">
        <v>0</v>
      </c>
      <c r="O891">
        <v>1</v>
      </c>
      <c r="P891" t="str">
        <f t="shared" si="130"/>
        <v>156844 1 1 0 1</v>
      </c>
      <c r="R891">
        <v>1</v>
      </c>
      <c r="S891">
        <v>0</v>
      </c>
      <c r="T891">
        <v>0</v>
      </c>
      <c r="U891">
        <v>0</v>
      </c>
      <c r="V891" t="str">
        <f t="shared" si="133"/>
        <v>156844 1 0 0 0</v>
      </c>
    </row>
    <row r="892" spans="3:22">
      <c r="C892">
        <v>19998</v>
      </c>
      <c r="D892">
        <f t="shared" si="134"/>
        <v>157073</v>
      </c>
      <c r="E892" cm="1">
        <f t="array" ref="E892">INDEX(C:C,MATCH(MIN(ABS(C:C-D892)),ABS(C:C-D892),0))</f>
        <v>157075</v>
      </c>
      <c r="G892">
        <f t="shared" si="135"/>
        <v>231</v>
      </c>
      <c r="L892">
        <v>1</v>
      </c>
      <c r="M892">
        <v>1</v>
      </c>
      <c r="N892">
        <v>1</v>
      </c>
      <c r="O892">
        <v>1</v>
      </c>
      <c r="P892" t="str">
        <f t="shared" si="130"/>
        <v>157075 1 1 1 1</v>
      </c>
      <c r="R892">
        <v>1</v>
      </c>
      <c r="S892">
        <v>0</v>
      </c>
      <c r="T892">
        <v>0</v>
      </c>
      <c r="U892">
        <v>1</v>
      </c>
      <c r="V892" t="str">
        <f t="shared" si="133"/>
        <v>157075 1 0 0 1</v>
      </c>
    </row>
    <row r="893" spans="3:22">
      <c r="C893">
        <v>20021</v>
      </c>
      <c r="D893">
        <f t="shared" si="134"/>
        <v>157309</v>
      </c>
      <c r="E893" cm="1">
        <f t="array" ref="E893">INDEX(C:C,MATCH(MIN(ABS(C:C-D893)),ABS(C:C-D893),0))</f>
        <v>157306</v>
      </c>
      <c r="G893">
        <f t="shared" si="135"/>
        <v>231</v>
      </c>
      <c r="L893">
        <v>0</v>
      </c>
      <c r="M893">
        <v>1</v>
      </c>
      <c r="N893">
        <v>1</v>
      </c>
      <c r="O893">
        <v>0</v>
      </c>
      <c r="P893" t="str">
        <f t="shared" si="130"/>
        <v>157306 0 1 1 0</v>
      </c>
      <c r="R893">
        <v>0</v>
      </c>
      <c r="S893">
        <v>1</v>
      </c>
      <c r="T893">
        <v>0</v>
      </c>
      <c r="U893">
        <v>0</v>
      </c>
      <c r="V893" t="str">
        <f t="shared" si="133"/>
        <v>157306 0 1 0 0</v>
      </c>
    </row>
    <row r="894" spans="3:22">
      <c r="C894">
        <v>20044</v>
      </c>
      <c r="D894">
        <f t="shared" si="134"/>
        <v>157422</v>
      </c>
      <c r="E894" cm="1">
        <f t="array" ref="E894">INDEX(C:C,MATCH(MIN(ABS(C:C-D894)),ABS(C:C-D894),0))</f>
        <v>157421</v>
      </c>
      <c r="G894">
        <f t="shared" si="135"/>
        <v>115</v>
      </c>
      <c r="L894">
        <v>0</v>
      </c>
      <c r="M894">
        <v>1</v>
      </c>
      <c r="N894">
        <v>1</v>
      </c>
      <c r="O894">
        <v>0</v>
      </c>
      <c r="P894" t="str">
        <f t="shared" si="130"/>
        <v>157421 0 1 1 0</v>
      </c>
      <c r="R894">
        <v>0</v>
      </c>
      <c r="S894">
        <v>1</v>
      </c>
      <c r="T894">
        <v>0</v>
      </c>
      <c r="U894">
        <v>0</v>
      </c>
    </row>
    <row r="895" spans="3:22">
      <c r="C895">
        <v>20067</v>
      </c>
      <c r="D895">
        <f t="shared" si="134"/>
        <v>157529</v>
      </c>
      <c r="E895" cm="1">
        <f t="array" ref="E895">INDEX(C:C,MATCH(MIN(ABS(C:C-D895)),ABS(C:C-D895),0))</f>
        <v>157537</v>
      </c>
      <c r="G895">
        <f t="shared" si="135"/>
        <v>116</v>
      </c>
      <c r="L895">
        <v>0</v>
      </c>
      <c r="M895">
        <v>0</v>
      </c>
      <c r="N895">
        <v>1</v>
      </c>
      <c r="O895">
        <v>0</v>
      </c>
      <c r="P895" t="str">
        <f t="shared" si="130"/>
        <v>157537 0 0 1 0</v>
      </c>
      <c r="R895">
        <v>0</v>
      </c>
      <c r="S895">
        <v>0</v>
      </c>
      <c r="T895">
        <v>1</v>
      </c>
      <c r="U895">
        <v>0</v>
      </c>
      <c r="V895" t="str">
        <f t="shared" ref="V895:V898" si="136">E895&amp;" "&amp;R895&amp;" "&amp;S895&amp;" "&amp;T895&amp;" "&amp;U895</f>
        <v>157537 0 0 1 0</v>
      </c>
    </row>
    <row r="896" spans="3:22">
      <c r="C896">
        <v>20090</v>
      </c>
      <c r="D896">
        <f t="shared" si="134"/>
        <v>157645</v>
      </c>
      <c r="E896" cm="1">
        <f t="array" ref="E896">INDEX(C:C,MATCH(MIN(ABS(C:C-D896)),ABS(C:C-D896),0))</f>
        <v>157652</v>
      </c>
      <c r="G896">
        <f t="shared" si="135"/>
        <v>115</v>
      </c>
      <c r="L896">
        <v>0</v>
      </c>
      <c r="M896">
        <v>1</v>
      </c>
      <c r="N896">
        <v>0</v>
      </c>
      <c r="O896">
        <v>0</v>
      </c>
      <c r="P896" t="str">
        <f t="shared" si="130"/>
        <v>157652 0 1 0 0</v>
      </c>
      <c r="R896">
        <v>0</v>
      </c>
      <c r="S896">
        <v>1</v>
      </c>
      <c r="T896">
        <v>0</v>
      </c>
      <c r="U896">
        <v>0</v>
      </c>
      <c r="V896" t="str">
        <f t="shared" si="136"/>
        <v>157652 0 1 0 0</v>
      </c>
    </row>
    <row r="897" spans="3:22">
      <c r="C897">
        <v>20113</v>
      </c>
      <c r="D897">
        <f t="shared" si="134"/>
        <v>157760</v>
      </c>
      <c r="E897" cm="1">
        <f t="array" ref="E897">INDEX(C:C,MATCH(MIN(ABS(C:C-D897)),ABS(C:C-D897),0))</f>
        <v>157767</v>
      </c>
      <c r="G897">
        <f t="shared" si="135"/>
        <v>115</v>
      </c>
      <c r="L897">
        <v>0</v>
      </c>
      <c r="M897">
        <v>1</v>
      </c>
      <c r="N897">
        <v>1</v>
      </c>
      <c r="O897">
        <v>0</v>
      </c>
      <c r="P897" t="str">
        <f t="shared" si="130"/>
        <v>157767 0 1 1 0</v>
      </c>
      <c r="R897">
        <v>0</v>
      </c>
      <c r="S897">
        <v>1</v>
      </c>
      <c r="T897">
        <v>0</v>
      </c>
      <c r="U897">
        <v>0</v>
      </c>
    </row>
    <row r="898" spans="3:22">
      <c r="C898">
        <v>20137</v>
      </c>
      <c r="D898">
        <f t="shared" si="134"/>
        <v>157991</v>
      </c>
      <c r="E898" cm="1">
        <f t="array" ref="E898">INDEX(C:C,MATCH(MIN(ABS(C:C-D898)),ABS(C:C-D898),0))</f>
        <v>157998</v>
      </c>
      <c r="G898">
        <f t="shared" si="135"/>
        <v>231</v>
      </c>
      <c r="L898">
        <v>0</v>
      </c>
      <c r="M898">
        <v>0</v>
      </c>
      <c r="N898">
        <v>1</v>
      </c>
      <c r="O898">
        <v>0</v>
      </c>
      <c r="P898" t="str">
        <f t="shared" si="130"/>
        <v>157998 0 0 1 0</v>
      </c>
      <c r="R898">
        <v>0</v>
      </c>
      <c r="S898">
        <v>0</v>
      </c>
      <c r="T898">
        <v>1</v>
      </c>
      <c r="U898">
        <v>0</v>
      </c>
      <c r="V898" t="str">
        <f t="shared" si="136"/>
        <v>157998 0 0 1 0</v>
      </c>
    </row>
    <row r="899" spans="3:22">
      <c r="C899">
        <v>20160</v>
      </c>
      <c r="D899">
        <f t="shared" si="134"/>
        <v>158108</v>
      </c>
      <c r="E899" cm="1">
        <f t="array" ref="E899">INDEX(C:C,MATCH(MIN(ABS(C:C-D899)),ABS(C:C-D899),0))</f>
        <v>158113</v>
      </c>
      <c r="G899">
        <f t="shared" si="135"/>
        <v>115</v>
      </c>
      <c r="L899">
        <v>0</v>
      </c>
      <c r="M899">
        <v>1</v>
      </c>
      <c r="N899">
        <v>1</v>
      </c>
      <c r="O899">
        <v>0</v>
      </c>
      <c r="P899" t="str">
        <f t="shared" si="130"/>
        <v>158113 0 1 1 0</v>
      </c>
      <c r="R899">
        <v>0</v>
      </c>
      <c r="S899">
        <v>0</v>
      </c>
      <c r="T899">
        <v>1</v>
      </c>
      <c r="U899">
        <v>0</v>
      </c>
    </row>
    <row r="900" spans="3:22">
      <c r="C900">
        <v>20183</v>
      </c>
      <c r="D900">
        <f t="shared" si="134"/>
        <v>158221</v>
      </c>
      <c r="E900" cm="1">
        <f t="array" ref="E900">INDEX(C:C,MATCH(MIN(ABS(C:C-D900)),ABS(C:C-D900),0))</f>
        <v>158229</v>
      </c>
      <c r="G900">
        <f t="shared" si="135"/>
        <v>116</v>
      </c>
      <c r="L900">
        <v>0</v>
      </c>
      <c r="M900">
        <v>0</v>
      </c>
      <c r="N900">
        <v>1</v>
      </c>
      <c r="O900">
        <v>0</v>
      </c>
      <c r="P900" t="str">
        <f t="shared" si="130"/>
        <v>158229 0 0 1 0</v>
      </c>
      <c r="R900">
        <v>0</v>
      </c>
      <c r="S900">
        <v>0</v>
      </c>
      <c r="T900">
        <v>1</v>
      </c>
      <c r="U900">
        <v>0</v>
      </c>
      <c r="V900" t="str">
        <f t="shared" ref="V900:V903" si="137">E900&amp;" "&amp;R900&amp;" "&amp;S900&amp;" "&amp;T900&amp;" "&amp;U900</f>
        <v>158229 0 0 1 0</v>
      </c>
    </row>
    <row r="901" spans="3:22">
      <c r="C901">
        <v>20206</v>
      </c>
      <c r="D901">
        <f t="shared" si="134"/>
        <v>158340</v>
      </c>
      <c r="E901" cm="1">
        <f t="array" ref="E901">INDEX(C:C,MATCH(MIN(ABS(C:C-D901)),ABS(C:C-D901),0))</f>
        <v>158344</v>
      </c>
      <c r="G901">
        <f t="shared" si="135"/>
        <v>115</v>
      </c>
      <c r="L901">
        <v>0</v>
      </c>
      <c r="M901">
        <v>1</v>
      </c>
      <c r="N901">
        <v>1</v>
      </c>
      <c r="O901">
        <v>0</v>
      </c>
      <c r="P901" t="str">
        <f t="shared" si="130"/>
        <v>158344 0 1 1 0</v>
      </c>
      <c r="R901">
        <v>0</v>
      </c>
      <c r="S901">
        <v>0</v>
      </c>
      <c r="T901">
        <v>1</v>
      </c>
      <c r="U901">
        <v>0</v>
      </c>
    </row>
    <row r="902" spans="3:22">
      <c r="C902">
        <v>20229</v>
      </c>
      <c r="D902">
        <f t="shared" si="134"/>
        <v>158459</v>
      </c>
      <c r="E902" cm="1">
        <f t="array" ref="E902">INDEX(C:C,MATCH(MIN(ABS(C:C-D902)),ABS(C:C-D902),0))</f>
        <v>158460</v>
      </c>
      <c r="G902">
        <f t="shared" si="135"/>
        <v>116</v>
      </c>
      <c r="L902">
        <v>0</v>
      </c>
      <c r="M902">
        <v>1</v>
      </c>
      <c r="N902">
        <v>1</v>
      </c>
      <c r="O902">
        <v>0</v>
      </c>
      <c r="P902" t="str">
        <f t="shared" si="130"/>
        <v>158460 0 1 1 0</v>
      </c>
      <c r="R902">
        <v>0</v>
      </c>
      <c r="S902">
        <v>1</v>
      </c>
      <c r="T902">
        <v>0</v>
      </c>
      <c r="U902">
        <v>0</v>
      </c>
      <c r="V902" t="str">
        <f t="shared" si="137"/>
        <v>158460 0 1 0 0</v>
      </c>
    </row>
    <row r="903" spans="3:22">
      <c r="C903">
        <v>20252</v>
      </c>
      <c r="D903">
        <f t="shared" si="134"/>
        <v>158687</v>
      </c>
      <c r="E903" cm="1">
        <f t="array" ref="E903">INDEX(C:C,MATCH(MIN(ABS(C:C-D903)),ABS(C:C-D903),0))</f>
        <v>158690</v>
      </c>
      <c r="G903">
        <f t="shared" si="135"/>
        <v>230</v>
      </c>
      <c r="L903">
        <v>1</v>
      </c>
      <c r="M903">
        <v>0</v>
      </c>
      <c r="N903">
        <v>0</v>
      </c>
      <c r="O903">
        <v>1</v>
      </c>
      <c r="P903" t="str">
        <f t="shared" si="130"/>
        <v>158690 1 0 0 1</v>
      </c>
      <c r="R903">
        <v>0</v>
      </c>
      <c r="S903">
        <v>0</v>
      </c>
      <c r="T903">
        <v>0</v>
      </c>
      <c r="U903">
        <v>1</v>
      </c>
      <c r="V903" t="str">
        <f t="shared" si="137"/>
        <v>158690 0 0 0 1</v>
      </c>
    </row>
    <row r="904" spans="3:22">
      <c r="C904">
        <v>20275</v>
      </c>
      <c r="D904">
        <v>158911</v>
      </c>
      <c r="E904" cm="1">
        <f t="array" ref="E904">INDEX(C:C,MATCH(MIN(ABS(C:C-D904)),ABS(C:C-D904),0))</f>
        <v>158921</v>
      </c>
      <c r="G904">
        <f t="shared" si="135"/>
        <v>231</v>
      </c>
      <c r="L904">
        <v>1</v>
      </c>
      <c r="M904">
        <v>1</v>
      </c>
      <c r="N904">
        <v>1</v>
      </c>
      <c r="O904">
        <v>1</v>
      </c>
      <c r="P904" t="str">
        <f t="shared" si="130"/>
        <v>158921 1 1 1 1</v>
      </c>
    </row>
    <row r="905" spans="3:22">
      <c r="C905">
        <v>20298</v>
      </c>
    </row>
    <row r="906" spans="3:22">
      <c r="C906">
        <v>20321</v>
      </c>
    </row>
    <row r="907" spans="3:22">
      <c r="C907">
        <v>20344</v>
      </c>
    </row>
    <row r="908" spans="3:22">
      <c r="C908">
        <v>20367</v>
      </c>
    </row>
    <row r="909" spans="3:22">
      <c r="C909">
        <v>20390</v>
      </c>
    </row>
    <row r="910" spans="3:22">
      <c r="C910">
        <v>20413</v>
      </c>
    </row>
    <row r="911" spans="3:22">
      <c r="C911">
        <v>20437</v>
      </c>
    </row>
    <row r="912" spans="3:22">
      <c r="C912">
        <v>20460</v>
      </c>
    </row>
    <row r="913" spans="3:3">
      <c r="C913">
        <v>20483</v>
      </c>
    </row>
    <row r="914" spans="3:3">
      <c r="C914">
        <v>20506</v>
      </c>
    </row>
    <row r="915" spans="3:3">
      <c r="C915">
        <v>20529</v>
      </c>
    </row>
    <row r="916" spans="3:3">
      <c r="C916">
        <v>20552</v>
      </c>
    </row>
    <row r="917" spans="3:3">
      <c r="C917">
        <v>20575</v>
      </c>
    </row>
    <row r="918" spans="3:3">
      <c r="C918">
        <v>20598</v>
      </c>
    </row>
    <row r="919" spans="3:3">
      <c r="C919">
        <v>20621</v>
      </c>
    </row>
    <row r="920" spans="3:3">
      <c r="C920">
        <v>20644</v>
      </c>
    </row>
    <row r="921" spans="3:3">
      <c r="C921">
        <v>20667</v>
      </c>
    </row>
    <row r="922" spans="3:3">
      <c r="C922">
        <v>20690</v>
      </c>
    </row>
    <row r="923" spans="3:3">
      <c r="C923">
        <v>20713</v>
      </c>
    </row>
    <row r="924" spans="3:3">
      <c r="C924">
        <v>20737</v>
      </c>
    </row>
    <row r="925" spans="3:3">
      <c r="C925">
        <v>20760</v>
      </c>
    </row>
    <row r="926" spans="3:3">
      <c r="C926">
        <v>20783</v>
      </c>
    </row>
    <row r="927" spans="3:3">
      <c r="C927">
        <v>20806</v>
      </c>
    </row>
    <row r="928" spans="3:3">
      <c r="C928">
        <v>20829</v>
      </c>
    </row>
    <row r="929" spans="3:3">
      <c r="C929">
        <v>20852</v>
      </c>
    </row>
    <row r="930" spans="3:3">
      <c r="C930">
        <v>20875</v>
      </c>
    </row>
    <row r="931" spans="3:3">
      <c r="C931">
        <v>20898</v>
      </c>
    </row>
    <row r="932" spans="3:3">
      <c r="C932">
        <v>20921</v>
      </c>
    </row>
    <row r="933" spans="3:3">
      <c r="C933">
        <v>20944</v>
      </c>
    </row>
    <row r="934" spans="3:3">
      <c r="C934">
        <v>20967</v>
      </c>
    </row>
    <row r="935" spans="3:3">
      <c r="C935">
        <v>20990</v>
      </c>
    </row>
    <row r="936" spans="3:3">
      <c r="C936">
        <v>21013</v>
      </c>
    </row>
    <row r="937" spans="3:3">
      <c r="C937">
        <v>21037</v>
      </c>
    </row>
    <row r="938" spans="3:3">
      <c r="C938">
        <v>21060</v>
      </c>
    </row>
    <row r="939" spans="3:3">
      <c r="C939">
        <v>21083</v>
      </c>
    </row>
    <row r="940" spans="3:3">
      <c r="C940">
        <v>21106</v>
      </c>
    </row>
    <row r="941" spans="3:3">
      <c r="C941">
        <v>21129</v>
      </c>
    </row>
    <row r="942" spans="3:3">
      <c r="C942">
        <v>21152</v>
      </c>
    </row>
    <row r="943" spans="3:3">
      <c r="C943">
        <v>21175</v>
      </c>
    </row>
    <row r="944" spans="3:3">
      <c r="C944">
        <v>21198</v>
      </c>
    </row>
    <row r="945" spans="3:3">
      <c r="C945">
        <v>21221</v>
      </c>
    </row>
    <row r="946" spans="3:3">
      <c r="C946">
        <v>21244</v>
      </c>
    </row>
    <row r="947" spans="3:3">
      <c r="C947">
        <v>21267</v>
      </c>
    </row>
    <row r="948" spans="3:3">
      <c r="C948">
        <v>21290</v>
      </c>
    </row>
    <row r="949" spans="3:3">
      <c r="C949">
        <v>21313</v>
      </c>
    </row>
    <row r="950" spans="3:3">
      <c r="C950">
        <v>21337</v>
      </c>
    </row>
    <row r="951" spans="3:3">
      <c r="C951">
        <v>21360</v>
      </c>
    </row>
    <row r="952" spans="3:3">
      <c r="C952">
        <v>21383</v>
      </c>
    </row>
    <row r="953" spans="3:3">
      <c r="C953">
        <v>21406</v>
      </c>
    </row>
    <row r="954" spans="3:3">
      <c r="C954">
        <v>21429</v>
      </c>
    </row>
    <row r="955" spans="3:3">
      <c r="C955">
        <v>21452</v>
      </c>
    </row>
    <row r="956" spans="3:3">
      <c r="C956">
        <v>21475</v>
      </c>
    </row>
    <row r="957" spans="3:3">
      <c r="C957">
        <v>21498</v>
      </c>
    </row>
    <row r="958" spans="3:3">
      <c r="C958">
        <v>21521</v>
      </c>
    </row>
    <row r="959" spans="3:3">
      <c r="C959">
        <v>21544</v>
      </c>
    </row>
    <row r="960" spans="3:3">
      <c r="C960">
        <v>21567</v>
      </c>
    </row>
    <row r="961" spans="3:3">
      <c r="C961">
        <v>21590</v>
      </c>
    </row>
    <row r="962" spans="3:3">
      <c r="C962">
        <v>21613</v>
      </c>
    </row>
    <row r="963" spans="3:3">
      <c r="C963">
        <v>21637</v>
      </c>
    </row>
    <row r="964" spans="3:3">
      <c r="C964">
        <v>21660</v>
      </c>
    </row>
    <row r="965" spans="3:3">
      <c r="C965">
        <v>21683</v>
      </c>
    </row>
    <row r="966" spans="3:3">
      <c r="C966">
        <v>21706</v>
      </c>
    </row>
    <row r="967" spans="3:3">
      <c r="C967">
        <v>21729</v>
      </c>
    </row>
    <row r="968" spans="3:3">
      <c r="C968">
        <v>21752</v>
      </c>
    </row>
    <row r="969" spans="3:3">
      <c r="C969">
        <v>21775</v>
      </c>
    </row>
    <row r="970" spans="3:3">
      <c r="C970">
        <v>21798</v>
      </c>
    </row>
    <row r="971" spans="3:3">
      <c r="C971">
        <v>21821</v>
      </c>
    </row>
    <row r="972" spans="3:3">
      <c r="C972">
        <v>21844</v>
      </c>
    </row>
    <row r="973" spans="3:3">
      <c r="C973">
        <v>21867</v>
      </c>
    </row>
    <row r="974" spans="3:3">
      <c r="C974">
        <v>21890</v>
      </c>
    </row>
    <row r="975" spans="3:3">
      <c r="C975">
        <v>21913</v>
      </c>
    </row>
    <row r="976" spans="3:3">
      <c r="C976">
        <v>21937</v>
      </c>
    </row>
    <row r="977" spans="3:3">
      <c r="C977">
        <v>21960</v>
      </c>
    </row>
    <row r="978" spans="3:3">
      <c r="C978">
        <v>21983</v>
      </c>
    </row>
    <row r="979" spans="3:3">
      <c r="C979">
        <v>22006</v>
      </c>
    </row>
    <row r="980" spans="3:3">
      <c r="C980">
        <v>22029</v>
      </c>
    </row>
    <row r="981" spans="3:3">
      <c r="C981">
        <v>22052</v>
      </c>
    </row>
    <row r="982" spans="3:3">
      <c r="C982">
        <v>22075</v>
      </c>
    </row>
    <row r="983" spans="3:3">
      <c r="C983">
        <v>22098</v>
      </c>
    </row>
    <row r="984" spans="3:3">
      <c r="C984">
        <v>22121</v>
      </c>
    </row>
    <row r="985" spans="3:3">
      <c r="C985">
        <v>22144</v>
      </c>
    </row>
    <row r="986" spans="3:3">
      <c r="C986">
        <v>22167</v>
      </c>
    </row>
    <row r="987" spans="3:3">
      <c r="C987">
        <v>22190</v>
      </c>
    </row>
    <row r="988" spans="3:3">
      <c r="C988">
        <v>22213</v>
      </c>
    </row>
    <row r="989" spans="3:3">
      <c r="C989">
        <v>22237</v>
      </c>
    </row>
    <row r="990" spans="3:3">
      <c r="C990">
        <v>22260</v>
      </c>
    </row>
    <row r="991" spans="3:3">
      <c r="C991">
        <v>22283</v>
      </c>
    </row>
    <row r="992" spans="3:3">
      <c r="C992">
        <v>22306</v>
      </c>
    </row>
    <row r="993" spans="3:3">
      <c r="C993">
        <v>22329</v>
      </c>
    </row>
    <row r="994" spans="3:3">
      <c r="C994">
        <v>22352</v>
      </c>
    </row>
    <row r="995" spans="3:3">
      <c r="C995">
        <v>22375</v>
      </c>
    </row>
    <row r="996" spans="3:3">
      <c r="C996">
        <v>22398</v>
      </c>
    </row>
    <row r="997" spans="3:3">
      <c r="C997">
        <v>22421</v>
      </c>
    </row>
    <row r="998" spans="3:3">
      <c r="C998">
        <v>22444</v>
      </c>
    </row>
    <row r="999" spans="3:3">
      <c r="C999">
        <v>22467</v>
      </c>
    </row>
    <row r="1000" spans="3:3">
      <c r="C1000">
        <v>22490</v>
      </c>
    </row>
    <row r="1001" spans="3:3">
      <c r="C1001">
        <v>22513</v>
      </c>
    </row>
    <row r="1002" spans="3:3">
      <c r="C1002">
        <v>22537</v>
      </c>
    </row>
    <row r="1003" spans="3:3">
      <c r="C1003">
        <v>22560</v>
      </c>
    </row>
    <row r="1004" spans="3:3">
      <c r="C1004">
        <v>22583</v>
      </c>
    </row>
    <row r="1005" spans="3:3">
      <c r="C1005">
        <v>22606</v>
      </c>
    </row>
    <row r="1006" spans="3:3">
      <c r="C1006">
        <v>22629</v>
      </c>
    </row>
    <row r="1007" spans="3:3">
      <c r="C1007">
        <v>22652</v>
      </c>
    </row>
    <row r="1008" spans="3:3">
      <c r="C1008">
        <v>22675</v>
      </c>
    </row>
    <row r="1009" spans="3:3">
      <c r="C1009">
        <v>22698</v>
      </c>
    </row>
    <row r="1010" spans="3:3">
      <c r="C1010">
        <v>22721</v>
      </c>
    </row>
    <row r="1011" spans="3:3">
      <c r="C1011">
        <v>22744</v>
      </c>
    </row>
    <row r="1012" spans="3:3">
      <c r="C1012">
        <v>22767</v>
      </c>
    </row>
    <row r="1013" spans="3:3">
      <c r="C1013">
        <v>22790</v>
      </c>
    </row>
    <row r="1014" spans="3:3">
      <c r="C1014">
        <v>22813</v>
      </c>
    </row>
    <row r="1015" spans="3:3">
      <c r="C1015">
        <v>22837</v>
      </c>
    </row>
    <row r="1016" spans="3:3">
      <c r="C1016">
        <v>22860</v>
      </c>
    </row>
    <row r="1017" spans="3:3">
      <c r="C1017">
        <v>22883</v>
      </c>
    </row>
    <row r="1018" spans="3:3">
      <c r="C1018">
        <v>22906</v>
      </c>
    </row>
    <row r="1019" spans="3:3">
      <c r="C1019">
        <v>22929</v>
      </c>
    </row>
    <row r="1020" spans="3:3">
      <c r="C1020">
        <v>22952</v>
      </c>
    </row>
    <row r="1021" spans="3:3">
      <c r="C1021">
        <v>22975</v>
      </c>
    </row>
    <row r="1022" spans="3:3">
      <c r="C1022">
        <v>22998</v>
      </c>
    </row>
    <row r="1023" spans="3:3">
      <c r="C1023">
        <v>23021</v>
      </c>
    </row>
    <row r="1024" spans="3:3">
      <c r="C1024">
        <v>23044</v>
      </c>
    </row>
    <row r="1025" spans="3:3">
      <c r="C1025">
        <v>23067</v>
      </c>
    </row>
    <row r="1026" spans="3:3">
      <c r="C1026">
        <v>23090</v>
      </c>
    </row>
    <row r="1027" spans="3:3">
      <c r="C1027">
        <v>23113</v>
      </c>
    </row>
    <row r="1028" spans="3:3">
      <c r="C1028">
        <v>23137</v>
      </c>
    </row>
    <row r="1029" spans="3:3">
      <c r="C1029">
        <v>23160</v>
      </c>
    </row>
    <row r="1030" spans="3:3">
      <c r="C1030">
        <v>23183</v>
      </c>
    </row>
    <row r="1031" spans="3:3">
      <c r="C1031">
        <v>23206</v>
      </c>
    </row>
    <row r="1032" spans="3:3">
      <c r="C1032">
        <v>23229</v>
      </c>
    </row>
    <row r="1033" spans="3:3">
      <c r="C1033">
        <v>23252</v>
      </c>
    </row>
    <row r="1034" spans="3:3">
      <c r="C1034">
        <v>23275</v>
      </c>
    </row>
    <row r="1035" spans="3:3">
      <c r="C1035">
        <v>23298</v>
      </c>
    </row>
    <row r="1036" spans="3:3">
      <c r="C1036">
        <v>23321</v>
      </c>
    </row>
    <row r="1037" spans="3:3">
      <c r="C1037">
        <v>23344</v>
      </c>
    </row>
    <row r="1038" spans="3:3">
      <c r="C1038">
        <v>23367</v>
      </c>
    </row>
    <row r="1039" spans="3:3">
      <c r="C1039">
        <v>23390</v>
      </c>
    </row>
    <row r="1040" spans="3:3">
      <c r="C1040">
        <v>23413</v>
      </c>
    </row>
    <row r="1041" spans="3:3">
      <c r="C1041">
        <v>23437</v>
      </c>
    </row>
    <row r="1042" spans="3:3">
      <c r="C1042">
        <v>23460</v>
      </c>
    </row>
    <row r="1043" spans="3:3">
      <c r="C1043">
        <v>23483</v>
      </c>
    </row>
    <row r="1044" spans="3:3">
      <c r="C1044">
        <v>23506</v>
      </c>
    </row>
    <row r="1045" spans="3:3">
      <c r="C1045">
        <v>23529</v>
      </c>
    </row>
    <row r="1046" spans="3:3">
      <c r="C1046">
        <v>23552</v>
      </c>
    </row>
    <row r="1047" spans="3:3">
      <c r="C1047">
        <v>23575</v>
      </c>
    </row>
    <row r="1048" spans="3:3">
      <c r="C1048">
        <v>23598</v>
      </c>
    </row>
    <row r="1049" spans="3:3">
      <c r="C1049">
        <v>23621</v>
      </c>
    </row>
    <row r="1050" spans="3:3">
      <c r="C1050">
        <v>23644</v>
      </c>
    </row>
    <row r="1051" spans="3:3">
      <c r="C1051">
        <v>23667</v>
      </c>
    </row>
    <row r="1052" spans="3:3">
      <c r="C1052">
        <v>23690</v>
      </c>
    </row>
    <row r="1053" spans="3:3">
      <c r="C1053">
        <v>23713</v>
      </c>
    </row>
    <row r="1054" spans="3:3">
      <c r="C1054">
        <v>23737</v>
      </c>
    </row>
    <row r="1055" spans="3:3">
      <c r="C1055">
        <v>23760</v>
      </c>
    </row>
    <row r="1056" spans="3:3">
      <c r="C1056">
        <v>23783</v>
      </c>
    </row>
    <row r="1057" spans="3:3">
      <c r="C1057">
        <v>23806</v>
      </c>
    </row>
    <row r="1058" spans="3:3">
      <c r="C1058">
        <v>23829</v>
      </c>
    </row>
    <row r="1059" spans="3:3">
      <c r="C1059">
        <v>23852</v>
      </c>
    </row>
    <row r="1060" spans="3:3">
      <c r="C1060">
        <v>23875</v>
      </c>
    </row>
    <row r="1061" spans="3:3">
      <c r="C1061">
        <v>23898</v>
      </c>
    </row>
    <row r="1062" spans="3:3">
      <c r="C1062">
        <v>23921</v>
      </c>
    </row>
    <row r="1063" spans="3:3">
      <c r="C1063">
        <v>23944</v>
      </c>
    </row>
    <row r="1064" spans="3:3">
      <c r="C1064">
        <v>23967</v>
      </c>
    </row>
    <row r="1065" spans="3:3">
      <c r="C1065">
        <v>23990</v>
      </c>
    </row>
    <row r="1066" spans="3:3">
      <c r="C1066">
        <v>24013</v>
      </c>
    </row>
    <row r="1067" spans="3:3">
      <c r="C1067">
        <v>24037</v>
      </c>
    </row>
    <row r="1068" spans="3:3">
      <c r="C1068">
        <v>24060</v>
      </c>
    </row>
    <row r="1069" spans="3:3">
      <c r="C1069">
        <v>24083</v>
      </c>
    </row>
    <row r="1070" spans="3:3">
      <c r="C1070">
        <v>24106</v>
      </c>
    </row>
    <row r="1071" spans="3:3">
      <c r="C1071">
        <v>24129</v>
      </c>
    </row>
    <row r="1072" spans="3:3">
      <c r="C1072">
        <v>24152</v>
      </c>
    </row>
    <row r="1073" spans="3:3">
      <c r="C1073">
        <v>24175</v>
      </c>
    </row>
    <row r="1074" spans="3:3">
      <c r="C1074">
        <v>24198</v>
      </c>
    </row>
    <row r="1075" spans="3:3">
      <c r="C1075">
        <v>24221</v>
      </c>
    </row>
    <row r="1076" spans="3:3">
      <c r="C1076">
        <v>24244</v>
      </c>
    </row>
    <row r="1077" spans="3:3">
      <c r="C1077">
        <v>24267</v>
      </c>
    </row>
    <row r="1078" spans="3:3">
      <c r="C1078">
        <v>24290</v>
      </c>
    </row>
    <row r="1079" spans="3:3">
      <c r="C1079">
        <v>24313</v>
      </c>
    </row>
    <row r="1080" spans="3:3">
      <c r="C1080">
        <v>24337</v>
      </c>
    </row>
    <row r="1081" spans="3:3">
      <c r="C1081">
        <v>24360</v>
      </c>
    </row>
    <row r="1082" spans="3:3">
      <c r="C1082">
        <v>24383</v>
      </c>
    </row>
    <row r="1083" spans="3:3">
      <c r="C1083">
        <v>24406</v>
      </c>
    </row>
    <row r="1084" spans="3:3">
      <c r="C1084">
        <v>24429</v>
      </c>
    </row>
    <row r="1085" spans="3:3">
      <c r="C1085">
        <v>24452</v>
      </c>
    </row>
    <row r="1086" spans="3:3">
      <c r="C1086">
        <v>24475</v>
      </c>
    </row>
    <row r="1087" spans="3:3">
      <c r="C1087">
        <v>24498</v>
      </c>
    </row>
    <row r="1088" spans="3:3">
      <c r="C1088">
        <v>24521</v>
      </c>
    </row>
    <row r="1089" spans="3:3">
      <c r="C1089">
        <v>24544</v>
      </c>
    </row>
    <row r="1090" spans="3:3">
      <c r="C1090">
        <v>24567</v>
      </c>
    </row>
    <row r="1091" spans="3:3">
      <c r="C1091">
        <v>24590</v>
      </c>
    </row>
    <row r="1092" spans="3:3">
      <c r="C1092">
        <v>24613</v>
      </c>
    </row>
    <row r="1093" spans="3:3">
      <c r="C1093">
        <v>24637</v>
      </c>
    </row>
    <row r="1094" spans="3:3">
      <c r="C1094">
        <v>24660</v>
      </c>
    </row>
    <row r="1095" spans="3:3">
      <c r="C1095">
        <v>24683</v>
      </c>
    </row>
    <row r="1096" spans="3:3">
      <c r="C1096">
        <v>24706</v>
      </c>
    </row>
    <row r="1097" spans="3:3">
      <c r="C1097">
        <v>24729</v>
      </c>
    </row>
    <row r="1098" spans="3:3">
      <c r="C1098">
        <v>24752</v>
      </c>
    </row>
    <row r="1099" spans="3:3">
      <c r="C1099">
        <v>24775</v>
      </c>
    </row>
    <row r="1100" spans="3:3">
      <c r="C1100">
        <v>24798</v>
      </c>
    </row>
    <row r="1101" spans="3:3">
      <c r="C1101">
        <v>24821</v>
      </c>
    </row>
    <row r="1102" spans="3:3">
      <c r="C1102">
        <v>24844</v>
      </c>
    </row>
    <row r="1103" spans="3:3">
      <c r="C1103">
        <v>24867</v>
      </c>
    </row>
    <row r="1104" spans="3:3">
      <c r="C1104">
        <v>24890</v>
      </c>
    </row>
    <row r="1105" spans="3:3">
      <c r="C1105">
        <v>24913</v>
      </c>
    </row>
    <row r="1106" spans="3:3">
      <c r="C1106">
        <v>24937</v>
      </c>
    </row>
    <row r="1107" spans="3:3">
      <c r="C1107">
        <v>24960</v>
      </c>
    </row>
    <row r="1108" spans="3:3">
      <c r="C1108">
        <v>24983</v>
      </c>
    </row>
    <row r="1109" spans="3:3">
      <c r="C1109">
        <v>25006</v>
      </c>
    </row>
    <row r="1110" spans="3:3">
      <c r="C1110">
        <v>25029</v>
      </c>
    </row>
    <row r="1111" spans="3:3">
      <c r="C1111">
        <v>25052</v>
      </c>
    </row>
    <row r="1112" spans="3:3">
      <c r="C1112">
        <v>25075</v>
      </c>
    </row>
    <row r="1113" spans="3:3">
      <c r="C1113">
        <v>25098</v>
      </c>
    </row>
    <row r="1114" spans="3:3">
      <c r="C1114">
        <v>25121</v>
      </c>
    </row>
    <row r="1115" spans="3:3">
      <c r="C1115">
        <v>25144</v>
      </c>
    </row>
    <row r="1116" spans="3:3">
      <c r="C1116">
        <v>25167</v>
      </c>
    </row>
    <row r="1117" spans="3:3">
      <c r="C1117">
        <v>25190</v>
      </c>
    </row>
    <row r="1118" spans="3:3">
      <c r="C1118">
        <v>25213</v>
      </c>
    </row>
    <row r="1119" spans="3:3">
      <c r="C1119">
        <v>25237</v>
      </c>
    </row>
    <row r="1120" spans="3:3">
      <c r="C1120">
        <v>25260</v>
      </c>
    </row>
    <row r="1121" spans="3:3">
      <c r="C1121">
        <v>25283</v>
      </c>
    </row>
    <row r="1122" spans="3:3">
      <c r="C1122">
        <v>25306</v>
      </c>
    </row>
    <row r="1123" spans="3:3">
      <c r="C1123">
        <v>25329</v>
      </c>
    </row>
    <row r="1124" spans="3:3">
      <c r="C1124">
        <v>25352</v>
      </c>
    </row>
    <row r="1125" spans="3:3">
      <c r="C1125">
        <v>25375</v>
      </c>
    </row>
    <row r="1126" spans="3:3">
      <c r="C1126">
        <v>25398</v>
      </c>
    </row>
    <row r="1127" spans="3:3">
      <c r="C1127">
        <v>25421</v>
      </c>
    </row>
    <row r="1128" spans="3:3">
      <c r="C1128">
        <v>25444</v>
      </c>
    </row>
    <row r="1129" spans="3:3">
      <c r="C1129">
        <v>25467</v>
      </c>
    </row>
    <row r="1130" spans="3:3">
      <c r="C1130">
        <v>25490</v>
      </c>
    </row>
    <row r="1131" spans="3:3">
      <c r="C1131">
        <v>25513</v>
      </c>
    </row>
    <row r="1132" spans="3:3">
      <c r="C1132">
        <v>25537</v>
      </c>
    </row>
    <row r="1133" spans="3:3">
      <c r="C1133">
        <v>25560</v>
      </c>
    </row>
    <row r="1134" spans="3:3">
      <c r="C1134">
        <v>25583</v>
      </c>
    </row>
    <row r="1135" spans="3:3">
      <c r="C1135">
        <v>25606</v>
      </c>
    </row>
    <row r="1136" spans="3:3">
      <c r="C1136">
        <v>25629</v>
      </c>
    </row>
    <row r="1137" spans="3:3">
      <c r="C1137">
        <v>25652</v>
      </c>
    </row>
    <row r="1138" spans="3:3">
      <c r="C1138">
        <v>25675</v>
      </c>
    </row>
    <row r="1139" spans="3:3">
      <c r="C1139">
        <v>25698</v>
      </c>
    </row>
    <row r="1140" spans="3:3">
      <c r="C1140">
        <v>25721</v>
      </c>
    </row>
    <row r="1141" spans="3:3">
      <c r="C1141">
        <v>25744</v>
      </c>
    </row>
    <row r="1142" spans="3:3">
      <c r="C1142">
        <v>25767</v>
      </c>
    </row>
    <row r="1143" spans="3:3">
      <c r="C1143">
        <v>25790</v>
      </c>
    </row>
    <row r="1144" spans="3:3">
      <c r="C1144">
        <v>25813</v>
      </c>
    </row>
    <row r="1145" spans="3:3">
      <c r="C1145">
        <v>25837</v>
      </c>
    </row>
    <row r="1146" spans="3:3">
      <c r="C1146">
        <v>25860</v>
      </c>
    </row>
    <row r="1147" spans="3:3">
      <c r="C1147">
        <v>25883</v>
      </c>
    </row>
    <row r="1148" spans="3:3">
      <c r="C1148">
        <v>25906</v>
      </c>
    </row>
    <row r="1149" spans="3:3">
      <c r="C1149">
        <v>25929</v>
      </c>
    </row>
    <row r="1150" spans="3:3">
      <c r="C1150">
        <v>25952</v>
      </c>
    </row>
    <row r="1151" spans="3:3">
      <c r="C1151">
        <v>25975</v>
      </c>
    </row>
    <row r="1152" spans="3:3">
      <c r="C1152">
        <v>25998</v>
      </c>
    </row>
    <row r="1153" spans="3:3">
      <c r="C1153">
        <v>26021</v>
      </c>
    </row>
    <row r="1154" spans="3:3">
      <c r="C1154">
        <v>26044</v>
      </c>
    </row>
    <row r="1155" spans="3:3">
      <c r="C1155">
        <v>26067</v>
      </c>
    </row>
    <row r="1156" spans="3:3">
      <c r="C1156">
        <v>26090</v>
      </c>
    </row>
    <row r="1157" spans="3:3">
      <c r="C1157">
        <v>26113</v>
      </c>
    </row>
    <row r="1158" spans="3:3">
      <c r="C1158">
        <v>26137</v>
      </c>
    </row>
    <row r="1159" spans="3:3">
      <c r="C1159">
        <v>26160</v>
      </c>
    </row>
    <row r="1160" spans="3:3">
      <c r="C1160">
        <v>26183</v>
      </c>
    </row>
    <row r="1161" spans="3:3">
      <c r="C1161">
        <v>26206</v>
      </c>
    </row>
    <row r="1162" spans="3:3">
      <c r="C1162">
        <v>26229</v>
      </c>
    </row>
    <row r="1163" spans="3:3">
      <c r="C1163">
        <v>26252</v>
      </c>
    </row>
    <row r="1164" spans="3:3">
      <c r="C1164">
        <v>26275</v>
      </c>
    </row>
    <row r="1165" spans="3:3">
      <c r="C1165">
        <v>26298</v>
      </c>
    </row>
    <row r="1166" spans="3:3">
      <c r="C1166">
        <v>26321</v>
      </c>
    </row>
    <row r="1167" spans="3:3">
      <c r="C1167">
        <v>26344</v>
      </c>
    </row>
    <row r="1168" spans="3:3">
      <c r="C1168">
        <v>26367</v>
      </c>
    </row>
    <row r="1169" spans="3:3">
      <c r="C1169">
        <v>26390</v>
      </c>
    </row>
    <row r="1170" spans="3:3">
      <c r="C1170">
        <v>26413</v>
      </c>
    </row>
    <row r="1171" spans="3:3">
      <c r="C1171">
        <v>26437</v>
      </c>
    </row>
    <row r="1172" spans="3:3">
      <c r="C1172">
        <v>26460</v>
      </c>
    </row>
    <row r="1173" spans="3:3">
      <c r="C1173">
        <v>26483</v>
      </c>
    </row>
    <row r="1174" spans="3:3">
      <c r="C1174">
        <v>26506</v>
      </c>
    </row>
    <row r="1175" spans="3:3">
      <c r="C1175">
        <v>26529</v>
      </c>
    </row>
    <row r="1176" spans="3:3">
      <c r="C1176">
        <v>26552</v>
      </c>
    </row>
    <row r="1177" spans="3:3">
      <c r="C1177">
        <v>26575</v>
      </c>
    </row>
    <row r="1178" spans="3:3">
      <c r="C1178">
        <v>26598</v>
      </c>
    </row>
    <row r="1179" spans="3:3">
      <c r="C1179">
        <v>26621</v>
      </c>
    </row>
    <row r="1180" spans="3:3">
      <c r="C1180">
        <v>26644</v>
      </c>
    </row>
    <row r="1181" spans="3:3">
      <c r="C1181">
        <v>26667</v>
      </c>
    </row>
    <row r="1182" spans="3:3">
      <c r="C1182">
        <v>26690</v>
      </c>
    </row>
    <row r="1183" spans="3:3">
      <c r="C1183">
        <v>26713</v>
      </c>
    </row>
    <row r="1184" spans="3:3">
      <c r="C1184">
        <v>26737</v>
      </c>
    </row>
    <row r="1185" spans="3:3">
      <c r="C1185">
        <v>26760</v>
      </c>
    </row>
    <row r="1186" spans="3:3">
      <c r="C1186">
        <v>26783</v>
      </c>
    </row>
    <row r="1187" spans="3:3">
      <c r="C1187">
        <v>26806</v>
      </c>
    </row>
    <row r="1188" spans="3:3">
      <c r="C1188">
        <v>26829</v>
      </c>
    </row>
    <row r="1189" spans="3:3">
      <c r="C1189">
        <v>26852</v>
      </c>
    </row>
    <row r="1190" spans="3:3">
      <c r="C1190">
        <v>26875</v>
      </c>
    </row>
    <row r="1191" spans="3:3">
      <c r="C1191">
        <v>26898</v>
      </c>
    </row>
    <row r="1192" spans="3:3">
      <c r="C1192">
        <v>26921</v>
      </c>
    </row>
    <row r="1193" spans="3:3">
      <c r="C1193">
        <v>26944</v>
      </c>
    </row>
    <row r="1194" spans="3:3">
      <c r="C1194">
        <v>26967</v>
      </c>
    </row>
    <row r="1195" spans="3:3">
      <c r="C1195">
        <v>26990</v>
      </c>
    </row>
    <row r="1196" spans="3:3">
      <c r="C1196">
        <v>27013</v>
      </c>
    </row>
    <row r="1197" spans="3:3">
      <c r="C1197">
        <v>27037</v>
      </c>
    </row>
    <row r="1198" spans="3:3">
      <c r="C1198">
        <v>27060</v>
      </c>
    </row>
    <row r="1199" spans="3:3">
      <c r="C1199">
        <v>27083</v>
      </c>
    </row>
    <row r="1200" spans="3:3">
      <c r="C1200">
        <v>27106</v>
      </c>
    </row>
    <row r="1201" spans="3:3">
      <c r="C1201">
        <v>27129</v>
      </c>
    </row>
    <row r="1202" spans="3:3">
      <c r="C1202">
        <v>27152</v>
      </c>
    </row>
    <row r="1203" spans="3:3">
      <c r="C1203">
        <v>27175</v>
      </c>
    </row>
    <row r="1204" spans="3:3">
      <c r="C1204">
        <v>27198</v>
      </c>
    </row>
    <row r="1205" spans="3:3">
      <c r="C1205">
        <v>27221</v>
      </c>
    </row>
    <row r="1206" spans="3:3">
      <c r="C1206">
        <v>27244</v>
      </c>
    </row>
    <row r="1207" spans="3:3">
      <c r="C1207">
        <v>27267</v>
      </c>
    </row>
    <row r="1208" spans="3:3">
      <c r="C1208">
        <v>27290</v>
      </c>
    </row>
    <row r="1209" spans="3:3">
      <c r="C1209">
        <v>27313</v>
      </c>
    </row>
    <row r="1210" spans="3:3">
      <c r="C1210">
        <v>27337</v>
      </c>
    </row>
    <row r="1211" spans="3:3">
      <c r="C1211">
        <v>27360</v>
      </c>
    </row>
    <row r="1212" spans="3:3">
      <c r="C1212">
        <v>27383</v>
      </c>
    </row>
    <row r="1213" spans="3:3">
      <c r="C1213">
        <v>27406</v>
      </c>
    </row>
    <row r="1214" spans="3:3">
      <c r="C1214">
        <v>27429</v>
      </c>
    </row>
    <row r="1215" spans="3:3">
      <c r="C1215">
        <v>27452</v>
      </c>
    </row>
    <row r="1216" spans="3:3">
      <c r="C1216">
        <v>27475</v>
      </c>
    </row>
    <row r="1217" spans="3:3">
      <c r="C1217">
        <v>27498</v>
      </c>
    </row>
    <row r="1218" spans="3:3">
      <c r="C1218">
        <v>27521</v>
      </c>
    </row>
    <row r="1219" spans="3:3">
      <c r="C1219">
        <v>27544</v>
      </c>
    </row>
    <row r="1220" spans="3:3">
      <c r="C1220">
        <v>27567</v>
      </c>
    </row>
    <row r="1221" spans="3:3">
      <c r="C1221">
        <v>27590</v>
      </c>
    </row>
    <row r="1222" spans="3:3">
      <c r="C1222">
        <v>27613</v>
      </c>
    </row>
    <row r="1223" spans="3:3">
      <c r="C1223">
        <v>27637</v>
      </c>
    </row>
    <row r="1224" spans="3:3">
      <c r="C1224">
        <v>27660</v>
      </c>
    </row>
    <row r="1225" spans="3:3">
      <c r="C1225">
        <v>27683</v>
      </c>
    </row>
    <row r="1226" spans="3:3">
      <c r="C1226">
        <v>27706</v>
      </c>
    </row>
    <row r="1227" spans="3:3">
      <c r="C1227">
        <v>27729</v>
      </c>
    </row>
    <row r="1228" spans="3:3">
      <c r="C1228">
        <v>27752</v>
      </c>
    </row>
    <row r="1229" spans="3:3">
      <c r="C1229">
        <v>27775</v>
      </c>
    </row>
    <row r="1230" spans="3:3">
      <c r="C1230">
        <v>27798</v>
      </c>
    </row>
    <row r="1231" spans="3:3">
      <c r="C1231">
        <v>27821</v>
      </c>
    </row>
    <row r="1232" spans="3:3">
      <c r="C1232">
        <v>27844</v>
      </c>
    </row>
    <row r="1233" spans="3:3">
      <c r="C1233">
        <v>27867</v>
      </c>
    </row>
    <row r="1234" spans="3:3">
      <c r="C1234">
        <v>27890</v>
      </c>
    </row>
    <row r="1235" spans="3:3">
      <c r="C1235">
        <v>27913</v>
      </c>
    </row>
    <row r="1236" spans="3:3">
      <c r="C1236">
        <v>27937</v>
      </c>
    </row>
    <row r="1237" spans="3:3">
      <c r="C1237">
        <v>27960</v>
      </c>
    </row>
    <row r="1238" spans="3:3">
      <c r="C1238">
        <v>27983</v>
      </c>
    </row>
    <row r="1239" spans="3:3">
      <c r="C1239">
        <v>28006</v>
      </c>
    </row>
    <row r="1240" spans="3:3">
      <c r="C1240">
        <v>28029</v>
      </c>
    </row>
    <row r="1241" spans="3:3">
      <c r="C1241">
        <v>28052</v>
      </c>
    </row>
    <row r="1242" spans="3:3">
      <c r="C1242">
        <v>28075</v>
      </c>
    </row>
    <row r="1243" spans="3:3">
      <c r="C1243">
        <v>28098</v>
      </c>
    </row>
    <row r="1244" spans="3:3">
      <c r="C1244">
        <v>28121</v>
      </c>
    </row>
    <row r="1245" spans="3:3">
      <c r="C1245">
        <v>28144</v>
      </c>
    </row>
    <row r="1246" spans="3:3">
      <c r="C1246">
        <v>28167</v>
      </c>
    </row>
    <row r="1247" spans="3:3">
      <c r="C1247">
        <v>28190</v>
      </c>
    </row>
    <row r="1248" spans="3:3">
      <c r="C1248">
        <v>28213</v>
      </c>
    </row>
    <row r="1249" spans="3:3">
      <c r="C1249">
        <v>28237</v>
      </c>
    </row>
    <row r="1250" spans="3:3">
      <c r="C1250">
        <v>28260</v>
      </c>
    </row>
    <row r="1251" spans="3:3">
      <c r="C1251">
        <v>28283</v>
      </c>
    </row>
    <row r="1252" spans="3:3">
      <c r="C1252">
        <v>28306</v>
      </c>
    </row>
    <row r="1253" spans="3:3">
      <c r="C1253">
        <v>28329</v>
      </c>
    </row>
    <row r="1254" spans="3:3">
      <c r="C1254">
        <v>28352</v>
      </c>
    </row>
    <row r="1255" spans="3:3">
      <c r="C1255">
        <v>28375</v>
      </c>
    </row>
    <row r="1256" spans="3:3">
      <c r="C1256">
        <v>28398</v>
      </c>
    </row>
    <row r="1257" spans="3:3">
      <c r="C1257">
        <v>28421</v>
      </c>
    </row>
    <row r="1258" spans="3:3">
      <c r="C1258">
        <v>28444</v>
      </c>
    </row>
    <row r="1259" spans="3:3">
      <c r="C1259">
        <v>28467</v>
      </c>
    </row>
    <row r="1260" spans="3:3">
      <c r="C1260">
        <v>28490</v>
      </c>
    </row>
    <row r="1261" spans="3:3">
      <c r="C1261">
        <v>28513</v>
      </c>
    </row>
    <row r="1262" spans="3:3">
      <c r="C1262">
        <v>28537</v>
      </c>
    </row>
    <row r="1263" spans="3:3">
      <c r="C1263">
        <v>28560</v>
      </c>
    </row>
    <row r="1264" spans="3:3">
      <c r="C1264">
        <v>28583</v>
      </c>
    </row>
    <row r="1265" spans="3:3">
      <c r="C1265">
        <v>28606</v>
      </c>
    </row>
    <row r="1266" spans="3:3">
      <c r="C1266">
        <v>28629</v>
      </c>
    </row>
    <row r="1267" spans="3:3">
      <c r="C1267">
        <v>28652</v>
      </c>
    </row>
    <row r="1268" spans="3:3">
      <c r="C1268">
        <v>28675</v>
      </c>
    </row>
    <row r="1269" spans="3:3">
      <c r="C1269">
        <v>28698</v>
      </c>
    </row>
    <row r="1270" spans="3:3">
      <c r="C1270">
        <v>28721</v>
      </c>
    </row>
    <row r="1271" spans="3:3">
      <c r="C1271">
        <v>28744</v>
      </c>
    </row>
    <row r="1272" spans="3:3">
      <c r="C1272">
        <v>28767</v>
      </c>
    </row>
    <row r="1273" spans="3:3">
      <c r="C1273">
        <v>28790</v>
      </c>
    </row>
    <row r="1274" spans="3:3">
      <c r="C1274">
        <v>28813</v>
      </c>
    </row>
    <row r="1275" spans="3:3">
      <c r="C1275">
        <v>28837</v>
      </c>
    </row>
    <row r="1276" spans="3:3">
      <c r="C1276">
        <v>28860</v>
      </c>
    </row>
    <row r="1277" spans="3:3">
      <c r="C1277">
        <v>28883</v>
      </c>
    </row>
    <row r="1278" spans="3:3">
      <c r="C1278">
        <v>28906</v>
      </c>
    </row>
    <row r="1279" spans="3:3">
      <c r="C1279">
        <v>28929</v>
      </c>
    </row>
    <row r="1280" spans="3:3">
      <c r="C1280">
        <v>28952</v>
      </c>
    </row>
    <row r="1281" spans="3:3">
      <c r="C1281">
        <v>28975</v>
      </c>
    </row>
    <row r="1282" spans="3:3">
      <c r="C1282">
        <v>28998</v>
      </c>
    </row>
    <row r="1283" spans="3:3">
      <c r="C1283">
        <v>29021</v>
      </c>
    </row>
    <row r="1284" spans="3:3">
      <c r="C1284">
        <v>29044</v>
      </c>
    </row>
    <row r="1285" spans="3:3">
      <c r="C1285">
        <v>29067</v>
      </c>
    </row>
    <row r="1286" spans="3:3">
      <c r="C1286">
        <v>29090</v>
      </c>
    </row>
    <row r="1287" spans="3:3">
      <c r="C1287">
        <v>29113</v>
      </c>
    </row>
    <row r="1288" spans="3:3">
      <c r="C1288">
        <v>29137</v>
      </c>
    </row>
    <row r="1289" spans="3:3">
      <c r="C1289">
        <v>29160</v>
      </c>
    </row>
    <row r="1290" spans="3:3">
      <c r="C1290">
        <v>29183</v>
      </c>
    </row>
    <row r="1291" spans="3:3">
      <c r="C1291">
        <v>29206</v>
      </c>
    </row>
    <row r="1292" spans="3:3">
      <c r="C1292">
        <v>29229</v>
      </c>
    </row>
    <row r="1293" spans="3:3">
      <c r="C1293">
        <v>29252</v>
      </c>
    </row>
    <row r="1294" spans="3:3">
      <c r="C1294">
        <v>29275</v>
      </c>
    </row>
    <row r="1295" spans="3:3">
      <c r="C1295">
        <v>29298</v>
      </c>
    </row>
    <row r="1296" spans="3:3">
      <c r="C1296">
        <v>29321</v>
      </c>
    </row>
    <row r="1297" spans="3:3">
      <c r="C1297">
        <v>29344</v>
      </c>
    </row>
    <row r="1298" spans="3:3">
      <c r="C1298">
        <v>29367</v>
      </c>
    </row>
    <row r="1299" spans="3:3">
      <c r="C1299">
        <v>29390</v>
      </c>
    </row>
    <row r="1300" spans="3:3">
      <c r="C1300">
        <v>29413</v>
      </c>
    </row>
    <row r="1301" spans="3:3">
      <c r="C1301">
        <v>29437</v>
      </c>
    </row>
    <row r="1302" spans="3:3">
      <c r="C1302">
        <v>29460</v>
      </c>
    </row>
    <row r="1303" spans="3:3">
      <c r="C1303">
        <v>29483</v>
      </c>
    </row>
    <row r="1304" spans="3:3">
      <c r="C1304">
        <v>29506</v>
      </c>
    </row>
    <row r="1305" spans="3:3">
      <c r="C1305">
        <v>29529</v>
      </c>
    </row>
    <row r="1306" spans="3:3">
      <c r="C1306">
        <v>29552</v>
      </c>
    </row>
    <row r="1307" spans="3:3">
      <c r="C1307">
        <v>29575</v>
      </c>
    </row>
    <row r="1308" spans="3:3">
      <c r="C1308">
        <v>29598</v>
      </c>
    </row>
    <row r="1309" spans="3:3">
      <c r="C1309">
        <v>29621</v>
      </c>
    </row>
    <row r="1310" spans="3:3">
      <c r="C1310">
        <v>29644</v>
      </c>
    </row>
    <row r="1311" spans="3:3">
      <c r="C1311">
        <v>29667</v>
      </c>
    </row>
    <row r="1312" spans="3:3">
      <c r="C1312">
        <v>29690</v>
      </c>
    </row>
    <row r="1313" spans="3:3">
      <c r="C1313">
        <v>29713</v>
      </c>
    </row>
    <row r="1314" spans="3:3">
      <c r="C1314">
        <v>29737</v>
      </c>
    </row>
    <row r="1315" spans="3:3">
      <c r="C1315">
        <v>29760</v>
      </c>
    </row>
    <row r="1316" spans="3:3">
      <c r="C1316">
        <v>29783</v>
      </c>
    </row>
    <row r="1317" spans="3:3">
      <c r="C1317">
        <v>29806</v>
      </c>
    </row>
    <row r="1318" spans="3:3">
      <c r="C1318">
        <v>29829</v>
      </c>
    </row>
    <row r="1319" spans="3:3">
      <c r="C1319">
        <v>29852</v>
      </c>
    </row>
    <row r="1320" spans="3:3">
      <c r="C1320">
        <v>29875</v>
      </c>
    </row>
    <row r="1321" spans="3:3">
      <c r="C1321">
        <v>29898</v>
      </c>
    </row>
    <row r="1322" spans="3:3">
      <c r="C1322">
        <v>29921</v>
      </c>
    </row>
    <row r="1323" spans="3:3">
      <c r="C1323">
        <v>29944</v>
      </c>
    </row>
    <row r="1324" spans="3:3">
      <c r="C1324">
        <v>29967</v>
      </c>
    </row>
    <row r="1325" spans="3:3">
      <c r="C1325">
        <v>29990</v>
      </c>
    </row>
    <row r="1326" spans="3:3">
      <c r="C1326">
        <v>30013</v>
      </c>
    </row>
    <row r="1327" spans="3:3">
      <c r="C1327">
        <v>30037</v>
      </c>
    </row>
    <row r="1328" spans="3:3">
      <c r="C1328">
        <v>30060</v>
      </c>
    </row>
    <row r="1329" spans="3:3">
      <c r="C1329">
        <v>30083</v>
      </c>
    </row>
    <row r="1330" spans="3:3">
      <c r="C1330">
        <v>30106</v>
      </c>
    </row>
    <row r="1331" spans="3:3">
      <c r="C1331">
        <v>30129</v>
      </c>
    </row>
    <row r="1332" spans="3:3">
      <c r="C1332">
        <v>30152</v>
      </c>
    </row>
    <row r="1333" spans="3:3">
      <c r="C1333">
        <v>30175</v>
      </c>
    </row>
    <row r="1334" spans="3:3">
      <c r="C1334">
        <v>30198</v>
      </c>
    </row>
    <row r="1335" spans="3:3">
      <c r="C1335">
        <v>30221</v>
      </c>
    </row>
    <row r="1336" spans="3:3">
      <c r="C1336">
        <v>30244</v>
      </c>
    </row>
    <row r="1337" spans="3:3">
      <c r="C1337">
        <v>30267</v>
      </c>
    </row>
    <row r="1338" spans="3:3">
      <c r="C1338">
        <v>30290</v>
      </c>
    </row>
    <row r="1339" spans="3:3">
      <c r="C1339">
        <v>30313</v>
      </c>
    </row>
    <row r="1340" spans="3:3">
      <c r="C1340">
        <v>30337</v>
      </c>
    </row>
    <row r="1341" spans="3:3">
      <c r="C1341">
        <v>30360</v>
      </c>
    </row>
    <row r="1342" spans="3:3">
      <c r="C1342">
        <v>30383</v>
      </c>
    </row>
    <row r="1343" spans="3:3">
      <c r="C1343">
        <v>30406</v>
      </c>
    </row>
    <row r="1344" spans="3:3">
      <c r="C1344">
        <v>30429</v>
      </c>
    </row>
    <row r="1345" spans="3:3">
      <c r="C1345">
        <v>30452</v>
      </c>
    </row>
    <row r="1346" spans="3:3">
      <c r="C1346">
        <v>30475</v>
      </c>
    </row>
    <row r="1347" spans="3:3">
      <c r="C1347">
        <v>30498</v>
      </c>
    </row>
    <row r="1348" spans="3:3">
      <c r="C1348">
        <v>30521</v>
      </c>
    </row>
    <row r="1349" spans="3:3">
      <c r="C1349">
        <v>30544</v>
      </c>
    </row>
    <row r="1350" spans="3:3">
      <c r="C1350">
        <v>30567</v>
      </c>
    </row>
    <row r="1351" spans="3:3">
      <c r="C1351">
        <v>30590</v>
      </c>
    </row>
    <row r="1352" spans="3:3">
      <c r="C1352">
        <v>30613</v>
      </c>
    </row>
    <row r="1353" spans="3:3">
      <c r="C1353">
        <v>30637</v>
      </c>
    </row>
    <row r="1354" spans="3:3">
      <c r="C1354">
        <v>30660</v>
      </c>
    </row>
    <row r="1355" spans="3:3">
      <c r="C1355">
        <v>30683</v>
      </c>
    </row>
    <row r="1356" spans="3:3">
      <c r="C1356">
        <v>30706</v>
      </c>
    </row>
    <row r="1357" spans="3:3">
      <c r="C1357">
        <v>30729</v>
      </c>
    </row>
    <row r="1358" spans="3:3">
      <c r="C1358">
        <v>30752</v>
      </c>
    </row>
    <row r="1359" spans="3:3">
      <c r="C1359">
        <v>30775</v>
      </c>
    </row>
    <row r="1360" spans="3:3">
      <c r="C1360">
        <v>30798</v>
      </c>
    </row>
    <row r="1361" spans="3:3">
      <c r="C1361">
        <v>30821</v>
      </c>
    </row>
    <row r="1362" spans="3:3">
      <c r="C1362">
        <v>30844</v>
      </c>
    </row>
    <row r="1363" spans="3:3">
      <c r="C1363">
        <v>30867</v>
      </c>
    </row>
    <row r="1364" spans="3:3">
      <c r="C1364">
        <v>30890</v>
      </c>
    </row>
    <row r="1365" spans="3:3">
      <c r="C1365">
        <v>30913</v>
      </c>
    </row>
    <row r="1366" spans="3:3">
      <c r="C1366">
        <v>30937</v>
      </c>
    </row>
    <row r="1367" spans="3:3">
      <c r="C1367">
        <v>30960</v>
      </c>
    </row>
    <row r="1368" spans="3:3">
      <c r="C1368">
        <v>30983</v>
      </c>
    </row>
    <row r="1369" spans="3:3">
      <c r="C1369">
        <v>31006</v>
      </c>
    </row>
    <row r="1370" spans="3:3">
      <c r="C1370">
        <v>31029</v>
      </c>
    </row>
    <row r="1371" spans="3:3">
      <c r="C1371">
        <v>31052</v>
      </c>
    </row>
    <row r="1372" spans="3:3">
      <c r="C1372">
        <v>31075</v>
      </c>
    </row>
    <row r="1373" spans="3:3">
      <c r="C1373">
        <v>31098</v>
      </c>
    </row>
    <row r="1374" spans="3:3">
      <c r="C1374">
        <v>31121</v>
      </c>
    </row>
    <row r="1375" spans="3:3">
      <c r="C1375">
        <v>31144</v>
      </c>
    </row>
    <row r="1376" spans="3:3">
      <c r="C1376">
        <v>31167</v>
      </c>
    </row>
    <row r="1377" spans="3:3">
      <c r="C1377">
        <v>31190</v>
      </c>
    </row>
    <row r="1378" spans="3:3">
      <c r="C1378">
        <v>31213</v>
      </c>
    </row>
    <row r="1379" spans="3:3">
      <c r="C1379">
        <v>31237</v>
      </c>
    </row>
    <row r="1380" spans="3:3">
      <c r="C1380">
        <v>31260</v>
      </c>
    </row>
    <row r="1381" spans="3:3">
      <c r="C1381">
        <v>31283</v>
      </c>
    </row>
    <row r="1382" spans="3:3">
      <c r="C1382">
        <v>31306</v>
      </c>
    </row>
    <row r="1383" spans="3:3">
      <c r="C1383">
        <v>31329</v>
      </c>
    </row>
    <row r="1384" spans="3:3">
      <c r="C1384">
        <v>31352</v>
      </c>
    </row>
    <row r="1385" spans="3:3">
      <c r="C1385">
        <v>31375</v>
      </c>
    </row>
    <row r="1386" spans="3:3">
      <c r="C1386">
        <v>31398</v>
      </c>
    </row>
    <row r="1387" spans="3:3">
      <c r="C1387">
        <v>31421</v>
      </c>
    </row>
    <row r="1388" spans="3:3">
      <c r="C1388">
        <v>31444</v>
      </c>
    </row>
    <row r="1389" spans="3:3">
      <c r="C1389">
        <v>31467</v>
      </c>
    </row>
    <row r="1390" spans="3:3">
      <c r="C1390">
        <v>31490</v>
      </c>
    </row>
    <row r="1391" spans="3:3">
      <c r="C1391">
        <v>31513</v>
      </c>
    </row>
    <row r="1392" spans="3:3">
      <c r="C1392">
        <v>31537</v>
      </c>
    </row>
    <row r="1393" spans="3:3">
      <c r="C1393">
        <v>31560</v>
      </c>
    </row>
    <row r="1394" spans="3:3">
      <c r="C1394">
        <v>31583</v>
      </c>
    </row>
    <row r="1395" spans="3:3">
      <c r="C1395">
        <v>31606</v>
      </c>
    </row>
    <row r="1396" spans="3:3">
      <c r="C1396">
        <v>31629</v>
      </c>
    </row>
    <row r="1397" spans="3:3">
      <c r="C1397">
        <v>31652</v>
      </c>
    </row>
    <row r="1398" spans="3:3">
      <c r="C1398">
        <v>31675</v>
      </c>
    </row>
    <row r="1399" spans="3:3">
      <c r="C1399">
        <v>31698</v>
      </c>
    </row>
    <row r="1400" spans="3:3">
      <c r="C1400">
        <v>31721</v>
      </c>
    </row>
    <row r="1401" spans="3:3">
      <c r="C1401">
        <v>31744</v>
      </c>
    </row>
    <row r="1402" spans="3:3">
      <c r="C1402">
        <v>31767</v>
      </c>
    </row>
    <row r="1403" spans="3:3">
      <c r="C1403">
        <v>31790</v>
      </c>
    </row>
    <row r="1404" spans="3:3">
      <c r="C1404">
        <v>31813</v>
      </c>
    </row>
    <row r="1405" spans="3:3">
      <c r="C1405">
        <v>31837</v>
      </c>
    </row>
    <row r="1406" spans="3:3">
      <c r="C1406">
        <v>31860</v>
      </c>
    </row>
    <row r="1407" spans="3:3">
      <c r="C1407">
        <v>31883</v>
      </c>
    </row>
    <row r="1408" spans="3:3">
      <c r="C1408">
        <v>31906</v>
      </c>
    </row>
    <row r="1409" spans="3:3">
      <c r="C1409">
        <v>31929</v>
      </c>
    </row>
    <row r="1410" spans="3:3">
      <c r="C1410">
        <v>31952</v>
      </c>
    </row>
    <row r="1411" spans="3:3">
      <c r="C1411">
        <v>31975</v>
      </c>
    </row>
    <row r="1412" spans="3:3">
      <c r="C1412">
        <v>31998</v>
      </c>
    </row>
    <row r="1413" spans="3:3">
      <c r="C1413">
        <v>32021</v>
      </c>
    </row>
    <row r="1414" spans="3:3">
      <c r="C1414">
        <v>32044</v>
      </c>
    </row>
    <row r="1415" spans="3:3">
      <c r="C1415">
        <v>32067</v>
      </c>
    </row>
    <row r="1416" spans="3:3">
      <c r="C1416">
        <v>32090</v>
      </c>
    </row>
    <row r="1417" spans="3:3">
      <c r="C1417">
        <v>32113</v>
      </c>
    </row>
    <row r="1418" spans="3:3">
      <c r="C1418">
        <v>32137</v>
      </c>
    </row>
    <row r="1419" spans="3:3">
      <c r="C1419">
        <v>32160</v>
      </c>
    </row>
    <row r="1420" spans="3:3">
      <c r="C1420">
        <v>32183</v>
      </c>
    </row>
    <row r="1421" spans="3:3">
      <c r="C1421">
        <v>32206</v>
      </c>
    </row>
    <row r="1422" spans="3:3">
      <c r="C1422">
        <v>32229</v>
      </c>
    </row>
    <row r="1423" spans="3:3">
      <c r="C1423">
        <v>32252</v>
      </c>
    </row>
    <row r="1424" spans="3:3">
      <c r="C1424">
        <v>32275</v>
      </c>
    </row>
    <row r="1425" spans="3:3">
      <c r="C1425">
        <v>32298</v>
      </c>
    </row>
    <row r="1426" spans="3:3">
      <c r="C1426">
        <v>32321</v>
      </c>
    </row>
    <row r="1427" spans="3:3">
      <c r="C1427">
        <v>32344</v>
      </c>
    </row>
    <row r="1428" spans="3:3">
      <c r="C1428">
        <v>32367</v>
      </c>
    </row>
    <row r="1429" spans="3:3">
      <c r="C1429">
        <v>32390</v>
      </c>
    </row>
    <row r="1430" spans="3:3">
      <c r="C1430">
        <v>32413</v>
      </c>
    </row>
    <row r="1431" spans="3:3">
      <c r="C1431">
        <v>32437</v>
      </c>
    </row>
    <row r="1432" spans="3:3">
      <c r="C1432">
        <v>32460</v>
      </c>
    </row>
    <row r="1433" spans="3:3">
      <c r="C1433">
        <v>32483</v>
      </c>
    </row>
    <row r="1434" spans="3:3">
      <c r="C1434">
        <v>32506</v>
      </c>
    </row>
    <row r="1435" spans="3:3">
      <c r="C1435">
        <v>32529</v>
      </c>
    </row>
    <row r="1436" spans="3:3">
      <c r="C1436">
        <v>32552</v>
      </c>
    </row>
    <row r="1437" spans="3:3">
      <c r="C1437">
        <v>32575</v>
      </c>
    </row>
    <row r="1438" spans="3:3">
      <c r="C1438">
        <v>32598</v>
      </c>
    </row>
    <row r="1439" spans="3:3">
      <c r="C1439">
        <v>32621</v>
      </c>
    </row>
    <row r="1440" spans="3:3">
      <c r="C1440">
        <v>32644</v>
      </c>
    </row>
    <row r="1441" spans="3:3">
      <c r="C1441">
        <v>32667</v>
      </c>
    </row>
    <row r="1442" spans="3:3">
      <c r="C1442">
        <v>32690</v>
      </c>
    </row>
    <row r="1443" spans="3:3">
      <c r="C1443">
        <v>32713</v>
      </c>
    </row>
    <row r="1444" spans="3:3">
      <c r="C1444">
        <v>32737</v>
      </c>
    </row>
    <row r="1445" spans="3:3">
      <c r="C1445">
        <v>32760</v>
      </c>
    </row>
    <row r="1446" spans="3:3">
      <c r="C1446">
        <v>32783</v>
      </c>
    </row>
    <row r="1447" spans="3:3">
      <c r="C1447">
        <v>32806</v>
      </c>
    </row>
    <row r="1448" spans="3:3">
      <c r="C1448">
        <v>32829</v>
      </c>
    </row>
    <row r="1449" spans="3:3">
      <c r="C1449">
        <v>32852</v>
      </c>
    </row>
    <row r="1450" spans="3:3">
      <c r="C1450">
        <v>32875</v>
      </c>
    </row>
    <row r="1451" spans="3:3">
      <c r="C1451">
        <v>32898</v>
      </c>
    </row>
    <row r="1452" spans="3:3">
      <c r="C1452">
        <v>32921</v>
      </c>
    </row>
    <row r="1453" spans="3:3">
      <c r="C1453">
        <v>32944</v>
      </c>
    </row>
    <row r="1454" spans="3:3">
      <c r="C1454">
        <v>32967</v>
      </c>
    </row>
    <row r="1455" spans="3:3">
      <c r="C1455">
        <v>32990</v>
      </c>
    </row>
    <row r="1456" spans="3:3">
      <c r="C1456">
        <v>33013</v>
      </c>
    </row>
    <row r="1457" spans="3:3">
      <c r="C1457">
        <v>33037</v>
      </c>
    </row>
    <row r="1458" spans="3:3">
      <c r="C1458">
        <v>33060</v>
      </c>
    </row>
    <row r="1459" spans="3:3">
      <c r="C1459">
        <v>33083</v>
      </c>
    </row>
    <row r="1460" spans="3:3">
      <c r="C1460">
        <v>33106</v>
      </c>
    </row>
    <row r="1461" spans="3:3">
      <c r="C1461">
        <v>33129</v>
      </c>
    </row>
    <row r="1462" spans="3:3">
      <c r="C1462">
        <v>33152</v>
      </c>
    </row>
    <row r="1463" spans="3:3">
      <c r="C1463">
        <v>33175</v>
      </c>
    </row>
    <row r="1464" spans="3:3">
      <c r="C1464">
        <v>33198</v>
      </c>
    </row>
    <row r="1465" spans="3:3">
      <c r="C1465">
        <v>33221</v>
      </c>
    </row>
    <row r="1466" spans="3:3">
      <c r="C1466">
        <v>33244</v>
      </c>
    </row>
    <row r="1467" spans="3:3">
      <c r="C1467">
        <v>33267</v>
      </c>
    </row>
    <row r="1468" spans="3:3">
      <c r="C1468">
        <v>33290</v>
      </c>
    </row>
    <row r="1469" spans="3:3">
      <c r="C1469">
        <v>33313</v>
      </c>
    </row>
    <row r="1470" spans="3:3">
      <c r="C1470">
        <v>33337</v>
      </c>
    </row>
    <row r="1471" spans="3:3">
      <c r="C1471">
        <v>33360</v>
      </c>
    </row>
    <row r="1472" spans="3:3">
      <c r="C1472">
        <v>33383</v>
      </c>
    </row>
    <row r="1473" spans="3:3">
      <c r="C1473">
        <v>33406</v>
      </c>
    </row>
    <row r="1474" spans="3:3">
      <c r="C1474">
        <v>33429</v>
      </c>
    </row>
    <row r="1475" spans="3:3">
      <c r="C1475">
        <v>33452</v>
      </c>
    </row>
    <row r="1476" spans="3:3">
      <c r="C1476">
        <v>33475</v>
      </c>
    </row>
    <row r="1477" spans="3:3">
      <c r="C1477">
        <v>33498</v>
      </c>
    </row>
    <row r="1478" spans="3:3">
      <c r="C1478">
        <v>33521</v>
      </c>
    </row>
    <row r="1479" spans="3:3">
      <c r="C1479">
        <v>33544</v>
      </c>
    </row>
    <row r="1480" spans="3:3">
      <c r="C1480">
        <v>33567</v>
      </c>
    </row>
    <row r="1481" spans="3:3">
      <c r="C1481">
        <v>33590</v>
      </c>
    </row>
    <row r="1482" spans="3:3">
      <c r="C1482">
        <v>33613</v>
      </c>
    </row>
    <row r="1483" spans="3:3">
      <c r="C1483">
        <v>33637</v>
      </c>
    </row>
    <row r="1484" spans="3:3">
      <c r="C1484">
        <v>33660</v>
      </c>
    </row>
    <row r="1485" spans="3:3">
      <c r="C1485">
        <v>33683</v>
      </c>
    </row>
    <row r="1486" spans="3:3">
      <c r="C1486">
        <v>33706</v>
      </c>
    </row>
    <row r="1487" spans="3:3">
      <c r="C1487">
        <v>33729</v>
      </c>
    </row>
    <row r="1488" spans="3:3">
      <c r="C1488">
        <v>33752</v>
      </c>
    </row>
    <row r="1489" spans="3:3">
      <c r="C1489">
        <v>33775</v>
      </c>
    </row>
    <row r="1490" spans="3:3">
      <c r="C1490">
        <v>33798</v>
      </c>
    </row>
    <row r="1491" spans="3:3">
      <c r="C1491">
        <v>33821</v>
      </c>
    </row>
    <row r="1492" spans="3:3">
      <c r="C1492">
        <v>33844</v>
      </c>
    </row>
    <row r="1493" spans="3:3">
      <c r="C1493">
        <v>33867</v>
      </c>
    </row>
    <row r="1494" spans="3:3">
      <c r="C1494">
        <v>33890</v>
      </c>
    </row>
    <row r="1495" spans="3:3">
      <c r="C1495">
        <v>33913</v>
      </c>
    </row>
    <row r="1496" spans="3:3">
      <c r="C1496">
        <v>33937</v>
      </c>
    </row>
    <row r="1497" spans="3:3">
      <c r="C1497">
        <v>33960</v>
      </c>
    </row>
    <row r="1498" spans="3:3">
      <c r="C1498">
        <v>33983</v>
      </c>
    </row>
    <row r="1499" spans="3:3">
      <c r="C1499">
        <v>34006</v>
      </c>
    </row>
    <row r="1500" spans="3:3">
      <c r="C1500">
        <v>34029</v>
      </c>
    </row>
    <row r="1501" spans="3:3">
      <c r="C1501">
        <v>34052</v>
      </c>
    </row>
    <row r="1502" spans="3:3">
      <c r="C1502">
        <v>34075</v>
      </c>
    </row>
    <row r="1503" spans="3:3">
      <c r="C1503">
        <v>34098</v>
      </c>
    </row>
    <row r="1504" spans="3:3">
      <c r="C1504">
        <v>34121</v>
      </c>
    </row>
    <row r="1505" spans="3:3">
      <c r="C1505">
        <v>34144</v>
      </c>
    </row>
    <row r="1506" spans="3:3">
      <c r="C1506">
        <v>34167</v>
      </c>
    </row>
    <row r="1507" spans="3:3">
      <c r="C1507">
        <v>34190</v>
      </c>
    </row>
    <row r="1508" spans="3:3">
      <c r="C1508">
        <v>34213</v>
      </c>
    </row>
    <row r="1509" spans="3:3">
      <c r="C1509">
        <v>34237</v>
      </c>
    </row>
    <row r="1510" spans="3:3">
      <c r="C1510">
        <v>34260</v>
      </c>
    </row>
    <row r="1511" spans="3:3">
      <c r="C1511">
        <v>34283</v>
      </c>
    </row>
    <row r="1512" spans="3:3">
      <c r="C1512">
        <v>34306</v>
      </c>
    </row>
    <row r="1513" spans="3:3">
      <c r="C1513">
        <v>34329</v>
      </c>
    </row>
    <row r="1514" spans="3:3">
      <c r="C1514">
        <v>34352</v>
      </c>
    </row>
    <row r="1515" spans="3:3">
      <c r="C1515">
        <v>34375</v>
      </c>
    </row>
    <row r="1516" spans="3:3">
      <c r="C1516">
        <v>34398</v>
      </c>
    </row>
    <row r="1517" spans="3:3">
      <c r="C1517">
        <v>34421</v>
      </c>
    </row>
    <row r="1518" spans="3:3">
      <c r="C1518">
        <v>34444</v>
      </c>
    </row>
    <row r="1519" spans="3:3">
      <c r="C1519">
        <v>34467</v>
      </c>
    </row>
    <row r="1520" spans="3:3">
      <c r="C1520">
        <v>34490</v>
      </c>
    </row>
    <row r="1521" spans="3:3">
      <c r="C1521">
        <v>34513</v>
      </c>
    </row>
    <row r="1522" spans="3:3">
      <c r="C1522">
        <v>34537</v>
      </c>
    </row>
    <row r="1523" spans="3:3">
      <c r="C1523">
        <v>34560</v>
      </c>
    </row>
    <row r="1524" spans="3:3">
      <c r="C1524">
        <v>34583</v>
      </c>
    </row>
    <row r="1525" spans="3:3">
      <c r="C1525">
        <v>34606</v>
      </c>
    </row>
    <row r="1526" spans="3:3">
      <c r="C1526">
        <v>34629</v>
      </c>
    </row>
    <row r="1527" spans="3:3">
      <c r="C1527">
        <v>34652</v>
      </c>
    </row>
    <row r="1528" spans="3:3">
      <c r="C1528">
        <v>34675</v>
      </c>
    </row>
    <row r="1529" spans="3:3">
      <c r="C1529">
        <v>34698</v>
      </c>
    </row>
    <row r="1530" spans="3:3">
      <c r="C1530">
        <v>34721</v>
      </c>
    </row>
    <row r="1531" spans="3:3">
      <c r="C1531">
        <v>34744</v>
      </c>
    </row>
    <row r="1532" spans="3:3">
      <c r="C1532">
        <v>34767</v>
      </c>
    </row>
    <row r="1533" spans="3:3">
      <c r="C1533">
        <v>34790</v>
      </c>
    </row>
    <row r="1534" spans="3:3">
      <c r="C1534">
        <v>34813</v>
      </c>
    </row>
    <row r="1535" spans="3:3">
      <c r="C1535">
        <v>34837</v>
      </c>
    </row>
    <row r="1536" spans="3:3">
      <c r="C1536">
        <v>34860</v>
      </c>
    </row>
    <row r="1537" spans="3:3">
      <c r="C1537">
        <v>34883</v>
      </c>
    </row>
    <row r="1538" spans="3:3">
      <c r="C1538">
        <v>34906</v>
      </c>
    </row>
    <row r="1539" spans="3:3">
      <c r="C1539">
        <v>34929</v>
      </c>
    </row>
    <row r="1540" spans="3:3">
      <c r="C1540">
        <v>34952</v>
      </c>
    </row>
    <row r="1541" spans="3:3">
      <c r="C1541">
        <v>34975</v>
      </c>
    </row>
    <row r="1542" spans="3:3">
      <c r="C1542">
        <v>34998</v>
      </c>
    </row>
    <row r="1543" spans="3:3">
      <c r="C1543">
        <v>35021</v>
      </c>
    </row>
    <row r="1544" spans="3:3">
      <c r="C1544">
        <v>35044</v>
      </c>
    </row>
    <row r="1545" spans="3:3">
      <c r="C1545">
        <v>35067</v>
      </c>
    </row>
    <row r="1546" spans="3:3">
      <c r="C1546">
        <v>35090</v>
      </c>
    </row>
    <row r="1547" spans="3:3">
      <c r="C1547">
        <v>35113</v>
      </c>
    </row>
    <row r="1548" spans="3:3">
      <c r="C1548">
        <v>35137</v>
      </c>
    </row>
    <row r="1549" spans="3:3">
      <c r="C1549">
        <v>35160</v>
      </c>
    </row>
    <row r="1550" spans="3:3">
      <c r="C1550">
        <v>35183</v>
      </c>
    </row>
    <row r="1551" spans="3:3">
      <c r="C1551">
        <v>35206</v>
      </c>
    </row>
    <row r="1552" spans="3:3">
      <c r="C1552">
        <v>35229</v>
      </c>
    </row>
    <row r="1553" spans="3:3">
      <c r="C1553">
        <v>35252</v>
      </c>
    </row>
    <row r="1554" spans="3:3">
      <c r="C1554">
        <v>35275</v>
      </c>
    </row>
    <row r="1555" spans="3:3">
      <c r="C1555">
        <v>35298</v>
      </c>
    </row>
    <row r="1556" spans="3:3">
      <c r="C1556">
        <v>35321</v>
      </c>
    </row>
    <row r="1557" spans="3:3">
      <c r="C1557">
        <v>35344</v>
      </c>
    </row>
    <row r="1558" spans="3:3">
      <c r="C1558">
        <v>35367</v>
      </c>
    </row>
    <row r="1559" spans="3:3">
      <c r="C1559">
        <v>35390</v>
      </c>
    </row>
    <row r="1560" spans="3:3">
      <c r="C1560">
        <v>35413</v>
      </c>
    </row>
    <row r="1561" spans="3:3">
      <c r="C1561">
        <v>35437</v>
      </c>
    </row>
    <row r="1562" spans="3:3">
      <c r="C1562">
        <v>35460</v>
      </c>
    </row>
    <row r="1563" spans="3:3">
      <c r="C1563">
        <v>35483</v>
      </c>
    </row>
    <row r="1564" spans="3:3">
      <c r="C1564">
        <v>35506</v>
      </c>
    </row>
    <row r="1565" spans="3:3">
      <c r="C1565">
        <v>35529</v>
      </c>
    </row>
    <row r="1566" spans="3:3">
      <c r="C1566">
        <v>35552</v>
      </c>
    </row>
    <row r="1567" spans="3:3">
      <c r="C1567">
        <v>35575</v>
      </c>
    </row>
    <row r="1568" spans="3:3">
      <c r="C1568">
        <v>35598</v>
      </c>
    </row>
    <row r="1569" spans="3:3">
      <c r="C1569">
        <v>35621</v>
      </c>
    </row>
    <row r="1570" spans="3:3">
      <c r="C1570">
        <v>35644</v>
      </c>
    </row>
    <row r="1571" spans="3:3">
      <c r="C1571">
        <v>35667</v>
      </c>
    </row>
    <row r="1572" spans="3:3">
      <c r="C1572">
        <v>35690</v>
      </c>
    </row>
    <row r="1573" spans="3:3">
      <c r="C1573">
        <v>35713</v>
      </c>
    </row>
    <row r="1574" spans="3:3">
      <c r="C1574">
        <v>35737</v>
      </c>
    </row>
    <row r="1575" spans="3:3">
      <c r="C1575">
        <v>35760</v>
      </c>
    </row>
    <row r="1576" spans="3:3">
      <c r="C1576">
        <v>35783</v>
      </c>
    </row>
    <row r="1577" spans="3:3">
      <c r="C1577">
        <v>35806</v>
      </c>
    </row>
    <row r="1578" spans="3:3">
      <c r="C1578">
        <v>35829</v>
      </c>
    </row>
    <row r="1579" spans="3:3">
      <c r="C1579">
        <v>35852</v>
      </c>
    </row>
    <row r="1580" spans="3:3">
      <c r="C1580">
        <v>35875</v>
      </c>
    </row>
    <row r="1581" spans="3:3">
      <c r="C1581">
        <v>35898</v>
      </c>
    </row>
    <row r="1582" spans="3:3">
      <c r="C1582">
        <v>35921</v>
      </c>
    </row>
    <row r="1583" spans="3:3">
      <c r="C1583">
        <v>35944</v>
      </c>
    </row>
    <row r="1584" spans="3:3">
      <c r="C1584">
        <v>35967</v>
      </c>
    </row>
    <row r="1585" spans="3:3">
      <c r="C1585">
        <v>35990</v>
      </c>
    </row>
    <row r="1586" spans="3:3">
      <c r="C1586">
        <v>36013</v>
      </c>
    </row>
    <row r="1587" spans="3:3">
      <c r="C1587">
        <v>36037</v>
      </c>
    </row>
    <row r="1588" spans="3:3">
      <c r="C1588">
        <v>36060</v>
      </c>
    </row>
    <row r="1589" spans="3:3">
      <c r="C1589">
        <v>36083</v>
      </c>
    </row>
    <row r="1590" spans="3:3">
      <c r="C1590">
        <v>36106</v>
      </c>
    </row>
    <row r="1591" spans="3:3">
      <c r="C1591">
        <v>36129</v>
      </c>
    </row>
    <row r="1592" spans="3:3">
      <c r="C1592">
        <v>36152</v>
      </c>
    </row>
    <row r="1593" spans="3:3">
      <c r="C1593">
        <v>36175</v>
      </c>
    </row>
    <row r="1594" spans="3:3">
      <c r="C1594">
        <v>36198</v>
      </c>
    </row>
    <row r="1595" spans="3:3">
      <c r="C1595">
        <v>36221</v>
      </c>
    </row>
    <row r="1596" spans="3:3">
      <c r="C1596">
        <v>36244</v>
      </c>
    </row>
    <row r="1597" spans="3:3">
      <c r="C1597">
        <v>36267</v>
      </c>
    </row>
    <row r="1598" spans="3:3">
      <c r="C1598">
        <v>36290</v>
      </c>
    </row>
    <row r="1599" spans="3:3">
      <c r="C1599">
        <v>36313</v>
      </c>
    </row>
    <row r="1600" spans="3:3">
      <c r="C1600">
        <v>36337</v>
      </c>
    </row>
    <row r="1601" spans="3:3">
      <c r="C1601">
        <v>36360</v>
      </c>
    </row>
    <row r="1602" spans="3:3">
      <c r="C1602">
        <v>36383</v>
      </c>
    </row>
    <row r="1603" spans="3:3">
      <c r="C1603">
        <v>36406</v>
      </c>
    </row>
    <row r="1604" spans="3:3">
      <c r="C1604">
        <v>36429</v>
      </c>
    </row>
    <row r="1605" spans="3:3">
      <c r="C1605">
        <v>36452</v>
      </c>
    </row>
    <row r="1606" spans="3:3">
      <c r="C1606">
        <v>36475</v>
      </c>
    </row>
    <row r="1607" spans="3:3">
      <c r="C1607">
        <v>36498</v>
      </c>
    </row>
    <row r="1608" spans="3:3">
      <c r="C1608">
        <v>36521</v>
      </c>
    </row>
    <row r="1609" spans="3:3">
      <c r="C1609">
        <v>36544</v>
      </c>
    </row>
    <row r="1610" spans="3:3">
      <c r="C1610">
        <v>36567</v>
      </c>
    </row>
    <row r="1611" spans="3:3">
      <c r="C1611">
        <v>36590</v>
      </c>
    </row>
    <row r="1612" spans="3:3">
      <c r="C1612">
        <v>36613</v>
      </c>
    </row>
    <row r="1613" spans="3:3">
      <c r="C1613">
        <v>36637</v>
      </c>
    </row>
    <row r="1614" spans="3:3">
      <c r="C1614">
        <v>36660</v>
      </c>
    </row>
    <row r="1615" spans="3:3">
      <c r="C1615">
        <v>36683</v>
      </c>
    </row>
    <row r="1616" spans="3:3">
      <c r="C1616">
        <v>36706</v>
      </c>
    </row>
    <row r="1617" spans="3:3">
      <c r="C1617">
        <v>36729</v>
      </c>
    </row>
    <row r="1618" spans="3:3">
      <c r="C1618">
        <v>36752</v>
      </c>
    </row>
    <row r="1619" spans="3:3">
      <c r="C1619">
        <v>36775</v>
      </c>
    </row>
    <row r="1620" spans="3:3">
      <c r="C1620">
        <v>36798</v>
      </c>
    </row>
    <row r="1621" spans="3:3">
      <c r="C1621">
        <v>36821</v>
      </c>
    </row>
    <row r="1622" spans="3:3">
      <c r="C1622">
        <v>36844</v>
      </c>
    </row>
    <row r="1623" spans="3:3">
      <c r="C1623">
        <v>36867</v>
      </c>
    </row>
    <row r="1624" spans="3:3">
      <c r="C1624">
        <v>36890</v>
      </c>
    </row>
    <row r="1625" spans="3:3">
      <c r="C1625">
        <v>36913</v>
      </c>
    </row>
    <row r="1626" spans="3:3">
      <c r="C1626">
        <v>36937</v>
      </c>
    </row>
    <row r="1627" spans="3:3">
      <c r="C1627">
        <v>36960</v>
      </c>
    </row>
    <row r="1628" spans="3:3">
      <c r="C1628">
        <v>36983</v>
      </c>
    </row>
    <row r="1629" spans="3:3">
      <c r="C1629">
        <v>37006</v>
      </c>
    </row>
    <row r="1630" spans="3:3">
      <c r="C1630">
        <v>37029</v>
      </c>
    </row>
    <row r="1631" spans="3:3">
      <c r="C1631">
        <v>37052</v>
      </c>
    </row>
    <row r="1632" spans="3:3">
      <c r="C1632">
        <v>37075</v>
      </c>
    </row>
    <row r="1633" spans="3:3">
      <c r="C1633">
        <v>37098</v>
      </c>
    </row>
    <row r="1634" spans="3:3">
      <c r="C1634">
        <v>37121</v>
      </c>
    </row>
    <row r="1635" spans="3:3">
      <c r="C1635">
        <v>37144</v>
      </c>
    </row>
    <row r="1636" spans="3:3">
      <c r="C1636">
        <v>37167</v>
      </c>
    </row>
    <row r="1637" spans="3:3">
      <c r="C1637">
        <v>37190</v>
      </c>
    </row>
    <row r="1638" spans="3:3">
      <c r="C1638">
        <v>37213</v>
      </c>
    </row>
    <row r="1639" spans="3:3">
      <c r="C1639">
        <v>37237</v>
      </c>
    </row>
    <row r="1640" spans="3:3">
      <c r="C1640">
        <v>37260</v>
      </c>
    </row>
    <row r="1641" spans="3:3">
      <c r="C1641">
        <v>37283</v>
      </c>
    </row>
    <row r="1642" spans="3:3">
      <c r="C1642">
        <v>37306</v>
      </c>
    </row>
    <row r="1643" spans="3:3">
      <c r="C1643">
        <v>37329</v>
      </c>
    </row>
    <row r="1644" spans="3:3">
      <c r="C1644">
        <v>37352</v>
      </c>
    </row>
    <row r="1645" spans="3:3">
      <c r="C1645">
        <v>37375</v>
      </c>
    </row>
    <row r="1646" spans="3:3">
      <c r="C1646">
        <v>37398</v>
      </c>
    </row>
    <row r="1647" spans="3:3">
      <c r="C1647">
        <v>37421</v>
      </c>
    </row>
    <row r="1648" spans="3:3">
      <c r="C1648">
        <v>37444</v>
      </c>
    </row>
    <row r="1649" spans="3:3">
      <c r="C1649">
        <v>37467</v>
      </c>
    </row>
    <row r="1650" spans="3:3">
      <c r="C1650">
        <v>37490</v>
      </c>
    </row>
    <row r="1651" spans="3:3">
      <c r="C1651">
        <v>37513</v>
      </c>
    </row>
    <row r="1652" spans="3:3">
      <c r="C1652">
        <v>37537</v>
      </c>
    </row>
    <row r="1653" spans="3:3">
      <c r="C1653">
        <v>37560</v>
      </c>
    </row>
    <row r="1654" spans="3:3">
      <c r="C1654">
        <v>37583</v>
      </c>
    </row>
    <row r="1655" spans="3:3">
      <c r="C1655">
        <v>37606</v>
      </c>
    </row>
    <row r="1656" spans="3:3">
      <c r="C1656">
        <v>37629</v>
      </c>
    </row>
    <row r="1657" spans="3:3">
      <c r="C1657">
        <v>37652</v>
      </c>
    </row>
    <row r="1658" spans="3:3">
      <c r="C1658">
        <v>37675</v>
      </c>
    </row>
    <row r="1659" spans="3:3">
      <c r="C1659">
        <v>37698</v>
      </c>
    </row>
    <row r="1660" spans="3:3">
      <c r="C1660">
        <v>37721</v>
      </c>
    </row>
    <row r="1661" spans="3:3">
      <c r="C1661">
        <v>37744</v>
      </c>
    </row>
    <row r="1662" spans="3:3">
      <c r="C1662">
        <v>37767</v>
      </c>
    </row>
    <row r="1663" spans="3:3">
      <c r="C1663">
        <v>37790</v>
      </c>
    </row>
    <row r="1664" spans="3:3">
      <c r="C1664">
        <v>37813</v>
      </c>
    </row>
    <row r="1665" spans="3:3">
      <c r="C1665">
        <v>37837</v>
      </c>
    </row>
    <row r="1666" spans="3:3">
      <c r="C1666">
        <v>37860</v>
      </c>
    </row>
    <row r="1667" spans="3:3">
      <c r="C1667">
        <v>37883</v>
      </c>
    </row>
    <row r="1668" spans="3:3">
      <c r="C1668">
        <v>37906</v>
      </c>
    </row>
    <row r="1669" spans="3:3">
      <c r="C1669">
        <v>37929</v>
      </c>
    </row>
    <row r="1670" spans="3:3">
      <c r="C1670">
        <v>37952</v>
      </c>
    </row>
    <row r="1671" spans="3:3">
      <c r="C1671">
        <v>37975</v>
      </c>
    </row>
    <row r="1672" spans="3:3">
      <c r="C1672">
        <v>37998</v>
      </c>
    </row>
    <row r="1673" spans="3:3">
      <c r="C1673">
        <v>38021</v>
      </c>
    </row>
    <row r="1674" spans="3:3">
      <c r="C1674">
        <v>38044</v>
      </c>
    </row>
    <row r="1675" spans="3:3">
      <c r="C1675">
        <v>38067</v>
      </c>
    </row>
    <row r="1676" spans="3:3">
      <c r="C1676">
        <v>38090</v>
      </c>
    </row>
    <row r="1677" spans="3:3">
      <c r="C1677">
        <v>38113</v>
      </c>
    </row>
    <row r="1678" spans="3:3">
      <c r="C1678">
        <v>38137</v>
      </c>
    </row>
    <row r="1679" spans="3:3">
      <c r="C1679">
        <v>38160</v>
      </c>
    </row>
    <row r="1680" spans="3:3">
      <c r="C1680">
        <v>38183</v>
      </c>
    </row>
    <row r="1681" spans="3:3">
      <c r="C1681">
        <v>38206</v>
      </c>
    </row>
    <row r="1682" spans="3:3">
      <c r="C1682">
        <v>38229</v>
      </c>
    </row>
    <row r="1683" spans="3:3">
      <c r="C1683">
        <v>38252</v>
      </c>
    </row>
    <row r="1684" spans="3:3">
      <c r="C1684">
        <v>38275</v>
      </c>
    </row>
    <row r="1685" spans="3:3">
      <c r="C1685">
        <v>38298</v>
      </c>
    </row>
    <row r="1686" spans="3:3">
      <c r="C1686">
        <v>38321</v>
      </c>
    </row>
    <row r="1687" spans="3:3">
      <c r="C1687">
        <v>38344</v>
      </c>
    </row>
    <row r="1688" spans="3:3">
      <c r="C1688">
        <v>38367</v>
      </c>
    </row>
    <row r="1689" spans="3:3">
      <c r="C1689">
        <v>38390</v>
      </c>
    </row>
    <row r="1690" spans="3:3">
      <c r="C1690">
        <v>38413</v>
      </c>
    </row>
    <row r="1691" spans="3:3">
      <c r="C1691">
        <v>38437</v>
      </c>
    </row>
    <row r="1692" spans="3:3">
      <c r="C1692">
        <v>38460</v>
      </c>
    </row>
    <row r="1693" spans="3:3">
      <c r="C1693">
        <v>38483</v>
      </c>
    </row>
    <row r="1694" spans="3:3">
      <c r="C1694">
        <v>38506</v>
      </c>
    </row>
    <row r="1695" spans="3:3">
      <c r="C1695">
        <v>38529</v>
      </c>
    </row>
    <row r="1696" spans="3:3">
      <c r="C1696">
        <v>38552</v>
      </c>
    </row>
    <row r="1697" spans="3:3">
      <c r="C1697">
        <v>38575</v>
      </c>
    </row>
    <row r="1698" spans="3:3">
      <c r="C1698">
        <v>38598</v>
      </c>
    </row>
    <row r="1699" spans="3:3">
      <c r="C1699">
        <v>38621</v>
      </c>
    </row>
    <row r="1700" spans="3:3">
      <c r="C1700">
        <v>38644</v>
      </c>
    </row>
    <row r="1701" spans="3:3">
      <c r="C1701">
        <v>38667</v>
      </c>
    </row>
    <row r="1702" spans="3:3">
      <c r="C1702">
        <v>38690</v>
      </c>
    </row>
    <row r="1703" spans="3:3">
      <c r="C1703">
        <v>38713</v>
      </c>
    </row>
    <row r="1704" spans="3:3">
      <c r="C1704">
        <v>38737</v>
      </c>
    </row>
    <row r="1705" spans="3:3">
      <c r="C1705">
        <v>38760</v>
      </c>
    </row>
    <row r="1706" spans="3:3">
      <c r="C1706">
        <v>38783</v>
      </c>
    </row>
    <row r="1707" spans="3:3">
      <c r="C1707">
        <v>38806</v>
      </c>
    </row>
    <row r="1708" spans="3:3">
      <c r="C1708">
        <v>38829</v>
      </c>
    </row>
    <row r="1709" spans="3:3">
      <c r="C1709">
        <v>38852</v>
      </c>
    </row>
    <row r="1710" spans="3:3">
      <c r="C1710">
        <v>38875</v>
      </c>
    </row>
    <row r="1711" spans="3:3">
      <c r="C1711">
        <v>38898</v>
      </c>
    </row>
    <row r="1712" spans="3:3">
      <c r="C1712">
        <v>38921</v>
      </c>
    </row>
    <row r="1713" spans="3:3">
      <c r="C1713">
        <v>38944</v>
      </c>
    </row>
    <row r="1714" spans="3:3">
      <c r="C1714">
        <v>38967</v>
      </c>
    </row>
    <row r="1715" spans="3:3">
      <c r="C1715">
        <v>38990</v>
      </c>
    </row>
    <row r="1716" spans="3:3">
      <c r="C1716">
        <v>39013</v>
      </c>
    </row>
    <row r="1717" spans="3:3">
      <c r="C1717">
        <v>39037</v>
      </c>
    </row>
    <row r="1718" spans="3:3">
      <c r="C1718">
        <v>39060</v>
      </c>
    </row>
    <row r="1719" spans="3:3">
      <c r="C1719">
        <v>39083</v>
      </c>
    </row>
    <row r="1720" spans="3:3">
      <c r="C1720">
        <v>39106</v>
      </c>
    </row>
    <row r="1721" spans="3:3">
      <c r="C1721">
        <v>39129</v>
      </c>
    </row>
    <row r="1722" spans="3:3">
      <c r="C1722">
        <v>39152</v>
      </c>
    </row>
    <row r="1723" spans="3:3">
      <c r="C1723">
        <v>39175</v>
      </c>
    </row>
    <row r="1724" spans="3:3">
      <c r="C1724">
        <v>39198</v>
      </c>
    </row>
    <row r="1725" spans="3:3">
      <c r="C1725">
        <v>39221</v>
      </c>
    </row>
    <row r="1726" spans="3:3">
      <c r="C1726">
        <v>39244</v>
      </c>
    </row>
    <row r="1727" spans="3:3">
      <c r="C1727">
        <v>39267</v>
      </c>
    </row>
    <row r="1728" spans="3:3">
      <c r="C1728">
        <v>39290</v>
      </c>
    </row>
    <row r="1729" spans="3:3">
      <c r="C1729">
        <v>39313</v>
      </c>
    </row>
    <row r="1730" spans="3:3">
      <c r="C1730">
        <v>39337</v>
      </c>
    </row>
    <row r="1731" spans="3:3">
      <c r="C1731">
        <v>39360</v>
      </c>
    </row>
    <row r="1732" spans="3:3">
      <c r="C1732">
        <v>39383</v>
      </c>
    </row>
    <row r="1733" spans="3:3">
      <c r="C1733">
        <v>39406</v>
      </c>
    </row>
    <row r="1734" spans="3:3">
      <c r="C1734">
        <v>39429</v>
      </c>
    </row>
    <row r="1735" spans="3:3">
      <c r="C1735">
        <v>39452</v>
      </c>
    </row>
    <row r="1736" spans="3:3">
      <c r="C1736">
        <v>39475</v>
      </c>
    </row>
    <row r="1737" spans="3:3">
      <c r="C1737">
        <v>39498</v>
      </c>
    </row>
    <row r="1738" spans="3:3">
      <c r="C1738">
        <v>39521</v>
      </c>
    </row>
    <row r="1739" spans="3:3">
      <c r="C1739">
        <v>39544</v>
      </c>
    </row>
    <row r="1740" spans="3:3">
      <c r="C1740">
        <v>39567</v>
      </c>
    </row>
    <row r="1741" spans="3:3">
      <c r="C1741">
        <v>39590</v>
      </c>
    </row>
    <row r="1742" spans="3:3">
      <c r="C1742">
        <v>39613</v>
      </c>
    </row>
    <row r="1743" spans="3:3">
      <c r="C1743">
        <v>39637</v>
      </c>
    </row>
    <row r="1744" spans="3:3">
      <c r="C1744">
        <v>39660</v>
      </c>
    </row>
    <row r="1745" spans="3:3">
      <c r="C1745">
        <v>39683</v>
      </c>
    </row>
    <row r="1746" spans="3:3">
      <c r="C1746">
        <v>39706</v>
      </c>
    </row>
    <row r="1747" spans="3:3">
      <c r="C1747">
        <v>39729</v>
      </c>
    </row>
    <row r="1748" spans="3:3">
      <c r="C1748">
        <v>39752</v>
      </c>
    </row>
    <row r="1749" spans="3:3">
      <c r="C1749">
        <v>39775</v>
      </c>
    </row>
    <row r="1750" spans="3:3">
      <c r="C1750">
        <v>39798</v>
      </c>
    </row>
    <row r="1751" spans="3:3">
      <c r="C1751">
        <v>39821</v>
      </c>
    </row>
    <row r="1752" spans="3:3">
      <c r="C1752">
        <v>39844</v>
      </c>
    </row>
    <row r="1753" spans="3:3">
      <c r="C1753">
        <v>39867</v>
      </c>
    </row>
    <row r="1754" spans="3:3">
      <c r="C1754">
        <v>39890</v>
      </c>
    </row>
    <row r="1755" spans="3:3">
      <c r="C1755">
        <v>39913</v>
      </c>
    </row>
    <row r="1756" spans="3:3">
      <c r="C1756">
        <v>39937</v>
      </c>
    </row>
    <row r="1757" spans="3:3">
      <c r="C1757">
        <v>39960</v>
      </c>
    </row>
    <row r="1758" spans="3:3">
      <c r="C1758">
        <v>39983</v>
      </c>
    </row>
    <row r="1759" spans="3:3">
      <c r="C1759">
        <v>40006</v>
      </c>
    </row>
    <row r="1760" spans="3:3">
      <c r="C1760">
        <v>40029</v>
      </c>
    </row>
    <row r="1761" spans="3:3">
      <c r="C1761">
        <v>40052</v>
      </c>
    </row>
    <row r="1762" spans="3:3">
      <c r="C1762">
        <v>40075</v>
      </c>
    </row>
    <row r="1763" spans="3:3">
      <c r="C1763">
        <v>40098</v>
      </c>
    </row>
    <row r="1764" spans="3:3">
      <c r="C1764">
        <v>40121</v>
      </c>
    </row>
    <row r="1765" spans="3:3">
      <c r="C1765">
        <v>40144</v>
      </c>
    </row>
    <row r="1766" spans="3:3">
      <c r="C1766">
        <v>40167</v>
      </c>
    </row>
    <row r="1767" spans="3:3">
      <c r="C1767">
        <v>40190</v>
      </c>
    </row>
    <row r="1768" spans="3:3">
      <c r="C1768">
        <v>40213</v>
      </c>
    </row>
    <row r="1769" spans="3:3">
      <c r="C1769">
        <v>40237</v>
      </c>
    </row>
    <row r="1770" spans="3:3">
      <c r="C1770">
        <v>40260</v>
      </c>
    </row>
    <row r="1771" spans="3:3">
      <c r="C1771">
        <v>40283</v>
      </c>
    </row>
    <row r="1772" spans="3:3">
      <c r="C1772">
        <v>40306</v>
      </c>
    </row>
    <row r="1773" spans="3:3">
      <c r="C1773">
        <v>40329</v>
      </c>
    </row>
    <row r="1774" spans="3:3">
      <c r="C1774">
        <v>40352</v>
      </c>
    </row>
    <row r="1775" spans="3:3">
      <c r="C1775">
        <v>40375</v>
      </c>
    </row>
    <row r="1776" spans="3:3">
      <c r="C1776">
        <v>40398</v>
      </c>
    </row>
    <row r="1777" spans="3:3">
      <c r="C1777">
        <v>40421</v>
      </c>
    </row>
    <row r="1778" spans="3:3">
      <c r="C1778">
        <v>40444</v>
      </c>
    </row>
    <row r="1779" spans="3:3">
      <c r="C1779">
        <v>40467</v>
      </c>
    </row>
    <row r="1780" spans="3:3">
      <c r="C1780">
        <v>40490</v>
      </c>
    </row>
    <row r="1781" spans="3:3">
      <c r="C1781">
        <v>40513</v>
      </c>
    </row>
    <row r="1782" spans="3:3">
      <c r="C1782">
        <v>40537</v>
      </c>
    </row>
    <row r="1783" spans="3:3">
      <c r="C1783">
        <v>40560</v>
      </c>
    </row>
    <row r="1784" spans="3:3">
      <c r="C1784">
        <v>40583</v>
      </c>
    </row>
    <row r="1785" spans="3:3">
      <c r="C1785">
        <v>40606</v>
      </c>
    </row>
    <row r="1786" spans="3:3">
      <c r="C1786">
        <v>40629</v>
      </c>
    </row>
    <row r="1787" spans="3:3">
      <c r="C1787">
        <v>40652</v>
      </c>
    </row>
    <row r="1788" spans="3:3">
      <c r="C1788">
        <v>40675</v>
      </c>
    </row>
    <row r="1789" spans="3:3">
      <c r="C1789">
        <v>40698</v>
      </c>
    </row>
    <row r="1790" spans="3:3">
      <c r="C1790">
        <v>40721</v>
      </c>
    </row>
    <row r="1791" spans="3:3">
      <c r="C1791">
        <v>40744</v>
      </c>
    </row>
    <row r="1792" spans="3:3">
      <c r="C1792">
        <v>40767</v>
      </c>
    </row>
    <row r="1793" spans="3:3">
      <c r="C1793">
        <v>40790</v>
      </c>
    </row>
    <row r="1794" spans="3:3">
      <c r="C1794">
        <v>40813</v>
      </c>
    </row>
    <row r="1795" spans="3:3">
      <c r="C1795">
        <v>40837</v>
      </c>
    </row>
    <row r="1796" spans="3:3">
      <c r="C1796">
        <v>40860</v>
      </c>
    </row>
    <row r="1797" spans="3:3">
      <c r="C1797">
        <v>40883</v>
      </c>
    </row>
    <row r="1798" spans="3:3">
      <c r="C1798">
        <v>40906</v>
      </c>
    </row>
    <row r="1799" spans="3:3">
      <c r="C1799">
        <v>40929</v>
      </c>
    </row>
    <row r="1800" spans="3:3">
      <c r="C1800">
        <v>40952</v>
      </c>
    </row>
    <row r="1801" spans="3:3">
      <c r="C1801">
        <v>40975</v>
      </c>
    </row>
    <row r="1802" spans="3:3">
      <c r="C1802">
        <v>40998</v>
      </c>
    </row>
    <row r="1803" spans="3:3">
      <c r="C1803">
        <v>41021</v>
      </c>
    </row>
    <row r="1804" spans="3:3">
      <c r="C1804">
        <v>41044</v>
      </c>
    </row>
    <row r="1805" spans="3:3">
      <c r="C1805">
        <v>41067</v>
      </c>
    </row>
    <row r="1806" spans="3:3">
      <c r="C1806">
        <v>41090</v>
      </c>
    </row>
    <row r="1807" spans="3:3">
      <c r="C1807">
        <v>41113</v>
      </c>
    </row>
    <row r="1808" spans="3:3">
      <c r="C1808">
        <v>41137</v>
      </c>
    </row>
    <row r="1809" spans="3:3">
      <c r="C1809">
        <v>41160</v>
      </c>
    </row>
    <row r="1810" spans="3:3">
      <c r="C1810">
        <v>41183</v>
      </c>
    </row>
    <row r="1811" spans="3:3">
      <c r="C1811">
        <v>41206</v>
      </c>
    </row>
    <row r="1812" spans="3:3">
      <c r="C1812">
        <v>41229</v>
      </c>
    </row>
    <row r="1813" spans="3:3">
      <c r="C1813">
        <v>41252</v>
      </c>
    </row>
    <row r="1814" spans="3:3">
      <c r="C1814">
        <v>41275</v>
      </c>
    </row>
    <row r="1815" spans="3:3">
      <c r="C1815">
        <v>41298</v>
      </c>
    </row>
    <row r="1816" spans="3:3">
      <c r="C1816">
        <v>41321</v>
      </c>
    </row>
    <row r="1817" spans="3:3">
      <c r="C1817">
        <v>41344</v>
      </c>
    </row>
    <row r="1818" spans="3:3">
      <c r="C1818">
        <v>41367</v>
      </c>
    </row>
    <row r="1819" spans="3:3">
      <c r="C1819">
        <v>41390</v>
      </c>
    </row>
    <row r="1820" spans="3:3">
      <c r="C1820">
        <v>41413</v>
      </c>
    </row>
    <row r="1821" spans="3:3">
      <c r="C1821">
        <v>41437</v>
      </c>
    </row>
    <row r="1822" spans="3:3">
      <c r="C1822">
        <v>41460</v>
      </c>
    </row>
    <row r="1823" spans="3:3">
      <c r="C1823">
        <v>41483</v>
      </c>
    </row>
    <row r="1824" spans="3:3">
      <c r="C1824">
        <v>41506</v>
      </c>
    </row>
    <row r="1825" spans="3:3">
      <c r="C1825">
        <v>41529</v>
      </c>
    </row>
    <row r="1826" spans="3:3">
      <c r="C1826">
        <v>41552</v>
      </c>
    </row>
    <row r="1827" spans="3:3">
      <c r="C1827">
        <v>41575</v>
      </c>
    </row>
    <row r="1828" spans="3:3">
      <c r="C1828">
        <v>41598</v>
      </c>
    </row>
    <row r="1829" spans="3:3">
      <c r="C1829">
        <v>41621</v>
      </c>
    </row>
    <row r="1830" spans="3:3">
      <c r="C1830">
        <v>41644</v>
      </c>
    </row>
    <row r="1831" spans="3:3">
      <c r="C1831">
        <v>41667</v>
      </c>
    </row>
    <row r="1832" spans="3:3">
      <c r="C1832">
        <v>41690</v>
      </c>
    </row>
    <row r="1833" spans="3:3">
      <c r="C1833">
        <v>41713</v>
      </c>
    </row>
    <row r="1834" spans="3:3">
      <c r="C1834">
        <v>41737</v>
      </c>
    </row>
    <row r="1835" spans="3:3">
      <c r="C1835">
        <v>41760</v>
      </c>
    </row>
    <row r="1836" spans="3:3">
      <c r="C1836">
        <v>41783</v>
      </c>
    </row>
    <row r="1837" spans="3:3">
      <c r="C1837">
        <v>41806</v>
      </c>
    </row>
    <row r="1838" spans="3:3">
      <c r="C1838">
        <v>41829</v>
      </c>
    </row>
    <row r="1839" spans="3:3">
      <c r="C1839">
        <v>41852</v>
      </c>
    </row>
    <row r="1840" spans="3:3">
      <c r="C1840">
        <v>41875</v>
      </c>
    </row>
    <row r="1841" spans="3:3">
      <c r="C1841">
        <v>41898</v>
      </c>
    </row>
    <row r="1842" spans="3:3">
      <c r="C1842">
        <v>41921</v>
      </c>
    </row>
    <row r="1843" spans="3:3">
      <c r="C1843">
        <v>41944</v>
      </c>
    </row>
    <row r="1844" spans="3:3">
      <c r="C1844">
        <v>41967</v>
      </c>
    </row>
    <row r="1845" spans="3:3">
      <c r="C1845">
        <v>41990</v>
      </c>
    </row>
    <row r="1846" spans="3:3">
      <c r="C1846">
        <v>42013</v>
      </c>
    </row>
    <row r="1847" spans="3:3">
      <c r="C1847">
        <v>42037</v>
      </c>
    </row>
    <row r="1848" spans="3:3">
      <c r="C1848">
        <v>42060</v>
      </c>
    </row>
    <row r="1849" spans="3:3">
      <c r="C1849">
        <v>42083</v>
      </c>
    </row>
    <row r="1850" spans="3:3">
      <c r="C1850">
        <v>42106</v>
      </c>
    </row>
    <row r="1851" spans="3:3">
      <c r="C1851">
        <v>42129</v>
      </c>
    </row>
    <row r="1852" spans="3:3">
      <c r="C1852">
        <v>42152</v>
      </c>
    </row>
    <row r="1853" spans="3:3">
      <c r="C1853">
        <v>42175</v>
      </c>
    </row>
    <row r="1854" spans="3:3">
      <c r="C1854">
        <v>42198</v>
      </c>
    </row>
    <row r="1855" spans="3:3">
      <c r="C1855">
        <v>42221</v>
      </c>
    </row>
    <row r="1856" spans="3:3">
      <c r="C1856">
        <v>42244</v>
      </c>
    </row>
    <row r="1857" spans="3:3">
      <c r="C1857">
        <v>42267</v>
      </c>
    </row>
    <row r="1858" spans="3:3">
      <c r="C1858">
        <v>42290</v>
      </c>
    </row>
    <row r="1859" spans="3:3">
      <c r="C1859">
        <v>42313</v>
      </c>
    </row>
    <row r="1860" spans="3:3">
      <c r="C1860">
        <v>42337</v>
      </c>
    </row>
    <row r="1861" spans="3:3">
      <c r="C1861">
        <v>42360</v>
      </c>
    </row>
    <row r="1862" spans="3:3">
      <c r="C1862">
        <v>42383</v>
      </c>
    </row>
    <row r="1863" spans="3:3">
      <c r="C1863">
        <v>42406</v>
      </c>
    </row>
    <row r="1864" spans="3:3">
      <c r="C1864">
        <v>42429</v>
      </c>
    </row>
    <row r="1865" spans="3:3">
      <c r="C1865">
        <v>42452</v>
      </c>
    </row>
    <row r="1866" spans="3:3">
      <c r="C1866">
        <v>42475</v>
      </c>
    </row>
    <row r="1867" spans="3:3">
      <c r="C1867">
        <v>42498</v>
      </c>
    </row>
    <row r="1868" spans="3:3">
      <c r="C1868">
        <v>42521</v>
      </c>
    </row>
    <row r="1869" spans="3:3">
      <c r="C1869">
        <v>42544</v>
      </c>
    </row>
    <row r="1870" spans="3:3">
      <c r="C1870">
        <v>42567</v>
      </c>
    </row>
    <row r="1871" spans="3:3">
      <c r="C1871">
        <v>42590</v>
      </c>
    </row>
    <row r="1872" spans="3:3">
      <c r="C1872">
        <v>42613</v>
      </c>
    </row>
    <row r="1873" spans="3:3">
      <c r="C1873">
        <v>42637</v>
      </c>
    </row>
    <row r="1874" spans="3:3">
      <c r="C1874">
        <v>42660</v>
      </c>
    </row>
    <row r="1875" spans="3:3">
      <c r="C1875">
        <v>42683</v>
      </c>
    </row>
    <row r="1876" spans="3:3">
      <c r="C1876">
        <v>42706</v>
      </c>
    </row>
    <row r="1877" spans="3:3">
      <c r="C1877">
        <v>42729</v>
      </c>
    </row>
    <row r="1878" spans="3:3">
      <c r="C1878">
        <v>42752</v>
      </c>
    </row>
    <row r="1879" spans="3:3">
      <c r="C1879">
        <v>42775</v>
      </c>
    </row>
    <row r="1880" spans="3:3">
      <c r="C1880">
        <v>42798</v>
      </c>
    </row>
    <row r="1881" spans="3:3">
      <c r="C1881">
        <v>42821</v>
      </c>
    </row>
    <row r="1882" spans="3:3">
      <c r="C1882">
        <v>42844</v>
      </c>
    </row>
    <row r="1883" spans="3:3">
      <c r="C1883">
        <v>42867</v>
      </c>
    </row>
    <row r="1884" spans="3:3">
      <c r="C1884">
        <v>42890</v>
      </c>
    </row>
    <row r="1885" spans="3:3">
      <c r="C1885">
        <v>42913</v>
      </c>
    </row>
    <row r="1886" spans="3:3">
      <c r="C1886">
        <v>42937</v>
      </c>
    </row>
    <row r="1887" spans="3:3">
      <c r="C1887">
        <v>42960</v>
      </c>
    </row>
    <row r="1888" spans="3:3">
      <c r="C1888">
        <v>42983</v>
      </c>
    </row>
    <row r="1889" spans="3:3">
      <c r="C1889">
        <v>43006</v>
      </c>
    </row>
    <row r="1890" spans="3:3">
      <c r="C1890">
        <v>43029</v>
      </c>
    </row>
    <row r="1891" spans="3:3">
      <c r="C1891">
        <v>43052</v>
      </c>
    </row>
    <row r="1892" spans="3:3">
      <c r="C1892">
        <v>43075</v>
      </c>
    </row>
    <row r="1893" spans="3:3">
      <c r="C1893">
        <v>43098</v>
      </c>
    </row>
    <row r="1894" spans="3:3">
      <c r="C1894">
        <v>43121</v>
      </c>
    </row>
    <row r="1895" spans="3:3">
      <c r="C1895">
        <v>43144</v>
      </c>
    </row>
    <row r="1896" spans="3:3">
      <c r="C1896">
        <v>43167</v>
      </c>
    </row>
    <row r="1897" spans="3:3">
      <c r="C1897">
        <v>43190</v>
      </c>
    </row>
    <row r="1898" spans="3:3">
      <c r="C1898">
        <v>43213</v>
      </c>
    </row>
    <row r="1899" spans="3:3">
      <c r="C1899">
        <v>43237</v>
      </c>
    </row>
    <row r="1900" spans="3:3">
      <c r="C1900">
        <v>43260</v>
      </c>
    </row>
    <row r="1901" spans="3:3">
      <c r="C1901">
        <v>43283</v>
      </c>
    </row>
    <row r="1902" spans="3:3">
      <c r="C1902">
        <v>43306</v>
      </c>
    </row>
    <row r="1903" spans="3:3">
      <c r="C1903">
        <v>43329</v>
      </c>
    </row>
    <row r="1904" spans="3:3">
      <c r="C1904">
        <v>43352</v>
      </c>
    </row>
    <row r="1905" spans="3:3">
      <c r="C1905">
        <v>43375</v>
      </c>
    </row>
    <row r="1906" spans="3:3">
      <c r="C1906">
        <v>43398</v>
      </c>
    </row>
    <row r="1907" spans="3:3">
      <c r="C1907">
        <v>43421</v>
      </c>
    </row>
    <row r="1908" spans="3:3">
      <c r="C1908">
        <v>43444</v>
      </c>
    </row>
    <row r="1909" spans="3:3">
      <c r="C1909">
        <v>43467</v>
      </c>
    </row>
    <row r="1910" spans="3:3">
      <c r="C1910">
        <v>43490</v>
      </c>
    </row>
    <row r="1911" spans="3:3">
      <c r="C1911">
        <v>43513</v>
      </c>
    </row>
    <row r="1912" spans="3:3">
      <c r="C1912">
        <v>43537</v>
      </c>
    </row>
    <row r="1913" spans="3:3">
      <c r="C1913">
        <v>43560</v>
      </c>
    </row>
    <row r="1914" spans="3:3">
      <c r="C1914">
        <v>43583</v>
      </c>
    </row>
    <row r="1915" spans="3:3">
      <c r="C1915">
        <v>43606</v>
      </c>
    </row>
    <row r="1916" spans="3:3">
      <c r="C1916">
        <v>43629</v>
      </c>
    </row>
    <row r="1917" spans="3:3">
      <c r="C1917">
        <v>43652</v>
      </c>
    </row>
    <row r="1918" spans="3:3">
      <c r="C1918">
        <v>43675</v>
      </c>
    </row>
    <row r="1919" spans="3:3">
      <c r="C1919">
        <v>43698</v>
      </c>
    </row>
    <row r="1920" spans="3:3">
      <c r="C1920">
        <v>43721</v>
      </c>
    </row>
    <row r="1921" spans="3:3">
      <c r="C1921">
        <v>43744</v>
      </c>
    </row>
    <row r="1922" spans="3:3">
      <c r="C1922">
        <v>43767</v>
      </c>
    </row>
    <row r="1923" spans="3:3">
      <c r="C1923">
        <v>43790</v>
      </c>
    </row>
    <row r="1924" spans="3:3">
      <c r="C1924">
        <v>43813</v>
      </c>
    </row>
    <row r="1925" spans="3:3">
      <c r="C1925">
        <v>43837</v>
      </c>
    </row>
    <row r="1926" spans="3:3">
      <c r="C1926">
        <v>43860</v>
      </c>
    </row>
    <row r="1927" spans="3:3">
      <c r="C1927">
        <v>43883</v>
      </c>
    </row>
    <row r="1928" spans="3:3">
      <c r="C1928">
        <v>43906</v>
      </c>
    </row>
    <row r="1929" spans="3:3">
      <c r="C1929">
        <v>43929</v>
      </c>
    </row>
    <row r="1930" spans="3:3">
      <c r="C1930">
        <v>43952</v>
      </c>
    </row>
    <row r="1931" spans="3:3">
      <c r="C1931">
        <v>43975</v>
      </c>
    </row>
    <row r="1932" spans="3:3">
      <c r="C1932">
        <v>43998</v>
      </c>
    </row>
    <row r="1933" spans="3:3">
      <c r="C1933">
        <v>44021</v>
      </c>
    </row>
    <row r="1934" spans="3:3">
      <c r="C1934">
        <v>44044</v>
      </c>
    </row>
    <row r="1935" spans="3:3">
      <c r="C1935">
        <v>44067</v>
      </c>
    </row>
    <row r="1936" spans="3:3">
      <c r="C1936">
        <v>44090</v>
      </c>
    </row>
    <row r="1937" spans="3:3">
      <c r="C1937">
        <v>44113</v>
      </c>
    </row>
    <row r="1938" spans="3:3">
      <c r="C1938">
        <v>44137</v>
      </c>
    </row>
    <row r="1939" spans="3:3">
      <c r="C1939">
        <v>44160</v>
      </c>
    </row>
    <row r="1940" spans="3:3">
      <c r="C1940">
        <v>44183</v>
      </c>
    </row>
    <row r="1941" spans="3:3">
      <c r="C1941">
        <v>44206</v>
      </c>
    </row>
    <row r="1942" spans="3:3">
      <c r="C1942">
        <v>44229</v>
      </c>
    </row>
    <row r="1943" spans="3:3">
      <c r="C1943">
        <v>44252</v>
      </c>
    </row>
    <row r="1944" spans="3:3">
      <c r="C1944">
        <v>44275</v>
      </c>
    </row>
    <row r="1945" spans="3:3">
      <c r="C1945">
        <v>44298</v>
      </c>
    </row>
    <row r="1946" spans="3:3">
      <c r="C1946">
        <v>44321</v>
      </c>
    </row>
    <row r="1947" spans="3:3">
      <c r="C1947">
        <v>44344</v>
      </c>
    </row>
    <row r="1948" spans="3:3">
      <c r="C1948">
        <v>44367</v>
      </c>
    </row>
    <row r="1949" spans="3:3">
      <c r="C1949">
        <v>44390</v>
      </c>
    </row>
    <row r="1950" spans="3:3">
      <c r="C1950">
        <v>44413</v>
      </c>
    </row>
    <row r="1951" spans="3:3">
      <c r="C1951">
        <v>44437</v>
      </c>
    </row>
    <row r="1952" spans="3:3">
      <c r="C1952">
        <v>44460</v>
      </c>
    </row>
    <row r="1953" spans="3:3">
      <c r="C1953">
        <v>44483</v>
      </c>
    </row>
    <row r="1954" spans="3:3">
      <c r="C1954">
        <v>44506</v>
      </c>
    </row>
    <row r="1955" spans="3:3">
      <c r="C1955">
        <v>44529</v>
      </c>
    </row>
    <row r="1956" spans="3:3">
      <c r="C1956">
        <v>44552</v>
      </c>
    </row>
    <row r="1957" spans="3:3">
      <c r="C1957">
        <v>44575</v>
      </c>
    </row>
    <row r="1958" spans="3:3">
      <c r="C1958">
        <v>44598</v>
      </c>
    </row>
    <row r="1959" spans="3:3">
      <c r="C1959">
        <v>44621</v>
      </c>
    </row>
    <row r="1960" spans="3:3">
      <c r="C1960">
        <v>44644</v>
      </c>
    </row>
    <row r="1961" spans="3:3">
      <c r="C1961">
        <v>44667</v>
      </c>
    </row>
    <row r="1962" spans="3:3">
      <c r="C1962">
        <v>44690</v>
      </c>
    </row>
    <row r="1963" spans="3:3">
      <c r="C1963">
        <v>44713</v>
      </c>
    </row>
    <row r="1964" spans="3:3">
      <c r="C1964">
        <v>44737</v>
      </c>
    </row>
    <row r="1965" spans="3:3">
      <c r="C1965">
        <v>44760</v>
      </c>
    </row>
    <row r="1966" spans="3:3">
      <c r="C1966">
        <v>44783</v>
      </c>
    </row>
    <row r="1967" spans="3:3">
      <c r="C1967">
        <v>44806</v>
      </c>
    </row>
    <row r="1968" spans="3:3">
      <c r="C1968">
        <v>44829</v>
      </c>
    </row>
    <row r="1969" spans="3:3">
      <c r="C1969">
        <v>44852</v>
      </c>
    </row>
    <row r="1970" spans="3:3">
      <c r="C1970">
        <v>44875</v>
      </c>
    </row>
    <row r="1971" spans="3:3">
      <c r="C1971">
        <v>44898</v>
      </c>
    </row>
    <row r="1972" spans="3:3">
      <c r="C1972">
        <v>44921</v>
      </c>
    </row>
    <row r="1973" spans="3:3">
      <c r="C1973">
        <v>44944</v>
      </c>
    </row>
    <row r="1974" spans="3:3">
      <c r="C1974">
        <v>44967</v>
      </c>
    </row>
    <row r="1975" spans="3:3">
      <c r="C1975">
        <v>44990</v>
      </c>
    </row>
    <row r="1976" spans="3:3">
      <c r="C1976">
        <v>45013</v>
      </c>
    </row>
    <row r="1977" spans="3:3">
      <c r="C1977">
        <v>45037</v>
      </c>
    </row>
    <row r="1978" spans="3:3">
      <c r="C1978">
        <v>45060</v>
      </c>
    </row>
    <row r="1979" spans="3:3">
      <c r="C1979">
        <v>45083</v>
      </c>
    </row>
    <row r="1980" spans="3:3">
      <c r="C1980">
        <v>45106</v>
      </c>
    </row>
    <row r="1981" spans="3:3">
      <c r="C1981">
        <v>45129</v>
      </c>
    </row>
    <row r="1982" spans="3:3">
      <c r="C1982">
        <v>45152</v>
      </c>
    </row>
    <row r="1983" spans="3:3">
      <c r="C1983">
        <v>45175</v>
      </c>
    </row>
    <row r="1984" spans="3:3">
      <c r="C1984">
        <v>45198</v>
      </c>
    </row>
    <row r="1985" spans="3:3">
      <c r="C1985">
        <v>45221</v>
      </c>
    </row>
    <row r="1986" spans="3:3">
      <c r="C1986">
        <v>45244</v>
      </c>
    </row>
    <row r="1987" spans="3:3">
      <c r="C1987">
        <v>45267</v>
      </c>
    </row>
    <row r="1988" spans="3:3">
      <c r="C1988">
        <v>45290</v>
      </c>
    </row>
    <row r="1989" spans="3:3">
      <c r="C1989">
        <v>45313</v>
      </c>
    </row>
    <row r="1990" spans="3:3">
      <c r="C1990">
        <v>45337</v>
      </c>
    </row>
    <row r="1991" spans="3:3">
      <c r="C1991">
        <v>45360</v>
      </c>
    </row>
    <row r="1992" spans="3:3">
      <c r="C1992">
        <v>45383</v>
      </c>
    </row>
    <row r="1993" spans="3:3">
      <c r="C1993">
        <v>45406</v>
      </c>
    </row>
    <row r="1994" spans="3:3">
      <c r="C1994">
        <v>45429</v>
      </c>
    </row>
    <row r="1995" spans="3:3">
      <c r="C1995">
        <v>45452</v>
      </c>
    </row>
    <row r="1996" spans="3:3">
      <c r="C1996">
        <v>45475</v>
      </c>
    </row>
    <row r="1997" spans="3:3">
      <c r="C1997">
        <v>45498</v>
      </c>
    </row>
    <row r="1998" spans="3:3">
      <c r="C1998">
        <v>45521</v>
      </c>
    </row>
    <row r="1999" spans="3:3">
      <c r="C1999">
        <v>45544</v>
      </c>
    </row>
    <row r="2000" spans="3:3">
      <c r="C2000">
        <v>45567</v>
      </c>
    </row>
    <row r="2001" spans="3:3">
      <c r="C2001">
        <v>45590</v>
      </c>
    </row>
    <row r="2002" spans="3:3">
      <c r="C2002">
        <v>45613</v>
      </c>
    </row>
    <row r="2003" spans="3:3">
      <c r="C2003">
        <v>45637</v>
      </c>
    </row>
    <row r="2004" spans="3:3">
      <c r="C2004">
        <v>45660</v>
      </c>
    </row>
    <row r="2005" spans="3:3">
      <c r="C2005">
        <v>45683</v>
      </c>
    </row>
    <row r="2006" spans="3:3">
      <c r="C2006">
        <v>45706</v>
      </c>
    </row>
    <row r="2007" spans="3:3">
      <c r="C2007">
        <v>45729</v>
      </c>
    </row>
    <row r="2008" spans="3:3">
      <c r="C2008">
        <v>45752</v>
      </c>
    </row>
    <row r="2009" spans="3:3">
      <c r="C2009">
        <v>45775</v>
      </c>
    </row>
    <row r="2010" spans="3:3">
      <c r="C2010">
        <v>45798</v>
      </c>
    </row>
    <row r="2011" spans="3:3">
      <c r="C2011">
        <v>45821</v>
      </c>
    </row>
    <row r="2012" spans="3:3">
      <c r="C2012">
        <v>45844</v>
      </c>
    </row>
    <row r="2013" spans="3:3">
      <c r="C2013">
        <v>45867</v>
      </c>
    </row>
    <row r="2014" spans="3:3">
      <c r="C2014">
        <v>45890</v>
      </c>
    </row>
    <row r="2015" spans="3:3">
      <c r="C2015">
        <v>45913</v>
      </c>
    </row>
    <row r="2016" spans="3:3">
      <c r="C2016">
        <v>45937</v>
      </c>
    </row>
    <row r="2017" spans="3:3">
      <c r="C2017">
        <v>45960</v>
      </c>
    </row>
    <row r="2018" spans="3:3">
      <c r="C2018">
        <v>45983</v>
      </c>
    </row>
    <row r="2019" spans="3:3">
      <c r="C2019">
        <v>46006</v>
      </c>
    </row>
    <row r="2020" spans="3:3">
      <c r="C2020">
        <v>46029</v>
      </c>
    </row>
    <row r="2021" spans="3:3">
      <c r="C2021">
        <v>46052</v>
      </c>
    </row>
    <row r="2022" spans="3:3">
      <c r="C2022">
        <v>46075</v>
      </c>
    </row>
    <row r="2023" spans="3:3">
      <c r="C2023">
        <v>46098</v>
      </c>
    </row>
    <row r="2024" spans="3:3">
      <c r="C2024">
        <v>46121</v>
      </c>
    </row>
    <row r="2025" spans="3:3">
      <c r="C2025">
        <v>46144</v>
      </c>
    </row>
    <row r="2026" spans="3:3">
      <c r="C2026">
        <v>46167</v>
      </c>
    </row>
    <row r="2027" spans="3:3">
      <c r="C2027">
        <v>46190</v>
      </c>
    </row>
    <row r="2028" spans="3:3">
      <c r="C2028">
        <v>46213</v>
      </c>
    </row>
    <row r="2029" spans="3:3">
      <c r="C2029">
        <v>46237</v>
      </c>
    </row>
    <row r="2030" spans="3:3">
      <c r="C2030">
        <v>46260</v>
      </c>
    </row>
    <row r="2031" spans="3:3">
      <c r="C2031">
        <v>46283</v>
      </c>
    </row>
    <row r="2032" spans="3:3">
      <c r="C2032">
        <v>46306</v>
      </c>
    </row>
    <row r="2033" spans="3:3">
      <c r="C2033">
        <v>46329</v>
      </c>
    </row>
    <row r="2034" spans="3:3">
      <c r="C2034">
        <v>46352</v>
      </c>
    </row>
    <row r="2035" spans="3:3">
      <c r="C2035">
        <v>46375</v>
      </c>
    </row>
    <row r="2036" spans="3:3">
      <c r="C2036">
        <v>46398</v>
      </c>
    </row>
    <row r="2037" spans="3:3">
      <c r="C2037">
        <v>46421</v>
      </c>
    </row>
    <row r="2038" spans="3:3">
      <c r="C2038">
        <v>46444</v>
      </c>
    </row>
    <row r="2039" spans="3:3">
      <c r="C2039">
        <v>46467</v>
      </c>
    </row>
    <row r="2040" spans="3:3">
      <c r="C2040">
        <v>46490</v>
      </c>
    </row>
    <row r="2041" spans="3:3">
      <c r="C2041">
        <v>46513</v>
      </c>
    </row>
    <row r="2042" spans="3:3">
      <c r="C2042">
        <v>46537</v>
      </c>
    </row>
    <row r="2043" spans="3:3">
      <c r="C2043">
        <v>46560</v>
      </c>
    </row>
    <row r="2044" spans="3:3">
      <c r="C2044">
        <v>46583</v>
      </c>
    </row>
    <row r="2045" spans="3:3">
      <c r="C2045">
        <v>46606</v>
      </c>
    </row>
    <row r="2046" spans="3:3">
      <c r="C2046">
        <v>46629</v>
      </c>
    </row>
    <row r="2047" spans="3:3">
      <c r="C2047">
        <v>46652</v>
      </c>
    </row>
    <row r="2048" spans="3:3">
      <c r="C2048">
        <v>46675</v>
      </c>
    </row>
    <row r="2049" spans="3:3">
      <c r="C2049">
        <v>46698</v>
      </c>
    </row>
    <row r="2050" spans="3:3">
      <c r="C2050">
        <v>46721</v>
      </c>
    </row>
    <row r="2051" spans="3:3">
      <c r="C2051">
        <v>46744</v>
      </c>
    </row>
    <row r="2052" spans="3:3">
      <c r="C2052">
        <v>46767</v>
      </c>
    </row>
    <row r="2053" spans="3:3">
      <c r="C2053">
        <v>46790</v>
      </c>
    </row>
    <row r="2054" spans="3:3">
      <c r="C2054">
        <v>46813</v>
      </c>
    </row>
    <row r="2055" spans="3:3">
      <c r="C2055">
        <v>46837</v>
      </c>
    </row>
    <row r="2056" spans="3:3">
      <c r="C2056">
        <v>46860</v>
      </c>
    </row>
    <row r="2057" spans="3:3">
      <c r="C2057">
        <v>46883</v>
      </c>
    </row>
    <row r="2058" spans="3:3">
      <c r="C2058">
        <v>46906</v>
      </c>
    </row>
    <row r="2059" spans="3:3">
      <c r="C2059">
        <v>46929</v>
      </c>
    </row>
    <row r="2060" spans="3:3">
      <c r="C2060">
        <v>46952</v>
      </c>
    </row>
    <row r="2061" spans="3:3">
      <c r="C2061">
        <v>46975</v>
      </c>
    </row>
    <row r="2062" spans="3:3">
      <c r="C2062">
        <v>46998</v>
      </c>
    </row>
    <row r="2063" spans="3:3">
      <c r="C2063">
        <v>47021</v>
      </c>
    </row>
    <row r="2064" spans="3:3">
      <c r="C2064">
        <v>47044</v>
      </c>
    </row>
    <row r="2065" spans="3:3">
      <c r="C2065">
        <v>47067</v>
      </c>
    </row>
    <row r="2066" spans="3:3">
      <c r="C2066">
        <v>47090</v>
      </c>
    </row>
    <row r="2067" spans="3:3">
      <c r="C2067">
        <v>47113</v>
      </c>
    </row>
    <row r="2068" spans="3:3">
      <c r="C2068">
        <v>47137</v>
      </c>
    </row>
    <row r="2069" spans="3:3">
      <c r="C2069">
        <v>47160</v>
      </c>
    </row>
    <row r="2070" spans="3:3">
      <c r="C2070">
        <v>47183</v>
      </c>
    </row>
    <row r="2071" spans="3:3">
      <c r="C2071">
        <v>47206</v>
      </c>
    </row>
    <row r="2072" spans="3:3">
      <c r="C2072">
        <v>47229</v>
      </c>
    </row>
    <row r="2073" spans="3:3">
      <c r="C2073">
        <v>47252</v>
      </c>
    </row>
    <row r="2074" spans="3:3">
      <c r="C2074">
        <v>47275</v>
      </c>
    </row>
    <row r="2075" spans="3:3">
      <c r="C2075">
        <v>47298</v>
      </c>
    </row>
    <row r="2076" spans="3:3">
      <c r="C2076">
        <v>47321</v>
      </c>
    </row>
    <row r="2077" spans="3:3">
      <c r="C2077">
        <v>47344</v>
      </c>
    </row>
    <row r="2078" spans="3:3">
      <c r="C2078">
        <v>47367</v>
      </c>
    </row>
    <row r="2079" spans="3:3">
      <c r="C2079">
        <v>47390</v>
      </c>
    </row>
    <row r="2080" spans="3:3">
      <c r="C2080">
        <v>47413</v>
      </c>
    </row>
    <row r="2081" spans="3:3">
      <c r="C2081">
        <v>47437</v>
      </c>
    </row>
    <row r="2082" spans="3:3">
      <c r="C2082">
        <v>47460</v>
      </c>
    </row>
    <row r="2083" spans="3:3">
      <c r="C2083">
        <v>47483</v>
      </c>
    </row>
    <row r="2084" spans="3:3">
      <c r="C2084">
        <v>47506</v>
      </c>
    </row>
    <row r="2085" spans="3:3">
      <c r="C2085">
        <v>47529</v>
      </c>
    </row>
    <row r="2086" spans="3:3">
      <c r="C2086">
        <v>47552</v>
      </c>
    </row>
    <row r="2087" spans="3:3">
      <c r="C2087">
        <v>47575</v>
      </c>
    </row>
    <row r="2088" spans="3:3">
      <c r="C2088">
        <v>47598</v>
      </c>
    </row>
    <row r="2089" spans="3:3">
      <c r="C2089">
        <v>47621</v>
      </c>
    </row>
    <row r="2090" spans="3:3">
      <c r="C2090">
        <v>47644</v>
      </c>
    </row>
    <row r="2091" spans="3:3">
      <c r="C2091">
        <v>47667</v>
      </c>
    </row>
    <row r="2092" spans="3:3">
      <c r="C2092">
        <v>47690</v>
      </c>
    </row>
    <row r="2093" spans="3:3">
      <c r="C2093">
        <v>47713</v>
      </c>
    </row>
    <row r="2094" spans="3:3">
      <c r="C2094">
        <v>47737</v>
      </c>
    </row>
    <row r="2095" spans="3:3">
      <c r="C2095">
        <v>47760</v>
      </c>
    </row>
    <row r="2096" spans="3:3">
      <c r="C2096">
        <v>47783</v>
      </c>
    </row>
    <row r="2097" spans="3:3">
      <c r="C2097">
        <v>47806</v>
      </c>
    </row>
    <row r="2098" spans="3:3">
      <c r="C2098">
        <v>47829</v>
      </c>
    </row>
    <row r="2099" spans="3:3">
      <c r="C2099">
        <v>47852</v>
      </c>
    </row>
    <row r="2100" spans="3:3">
      <c r="C2100">
        <v>47875</v>
      </c>
    </row>
    <row r="2101" spans="3:3">
      <c r="C2101">
        <v>47898</v>
      </c>
    </row>
    <row r="2102" spans="3:3">
      <c r="C2102">
        <v>47921</v>
      </c>
    </row>
    <row r="2103" spans="3:3">
      <c r="C2103">
        <v>47944</v>
      </c>
    </row>
    <row r="2104" spans="3:3">
      <c r="C2104">
        <v>47967</v>
      </c>
    </row>
    <row r="2105" spans="3:3">
      <c r="C2105">
        <v>47990</v>
      </c>
    </row>
    <row r="2106" spans="3:3">
      <c r="C2106">
        <v>48013</v>
      </c>
    </row>
    <row r="2107" spans="3:3">
      <c r="C2107">
        <v>48037</v>
      </c>
    </row>
    <row r="2108" spans="3:3">
      <c r="C2108">
        <v>48060</v>
      </c>
    </row>
    <row r="2109" spans="3:3">
      <c r="C2109">
        <v>48083</v>
      </c>
    </row>
    <row r="2110" spans="3:3">
      <c r="C2110">
        <v>48106</v>
      </c>
    </row>
    <row r="2111" spans="3:3">
      <c r="C2111">
        <v>48129</v>
      </c>
    </row>
    <row r="2112" spans="3:3">
      <c r="C2112">
        <v>48152</v>
      </c>
    </row>
    <row r="2113" spans="3:3">
      <c r="C2113">
        <v>48175</v>
      </c>
    </row>
    <row r="2114" spans="3:3">
      <c r="C2114">
        <v>48198</v>
      </c>
    </row>
    <row r="2115" spans="3:3">
      <c r="C2115">
        <v>48221</v>
      </c>
    </row>
    <row r="2116" spans="3:3">
      <c r="C2116">
        <v>48244</v>
      </c>
    </row>
    <row r="2117" spans="3:3">
      <c r="C2117">
        <v>48267</v>
      </c>
    </row>
    <row r="2118" spans="3:3">
      <c r="C2118">
        <v>48290</v>
      </c>
    </row>
    <row r="2119" spans="3:3">
      <c r="C2119">
        <v>48313</v>
      </c>
    </row>
    <row r="2120" spans="3:3">
      <c r="C2120">
        <v>48337</v>
      </c>
    </row>
    <row r="2121" spans="3:3">
      <c r="C2121">
        <v>48360</v>
      </c>
    </row>
    <row r="2122" spans="3:3">
      <c r="C2122">
        <v>48383</v>
      </c>
    </row>
    <row r="2123" spans="3:3">
      <c r="C2123">
        <v>48406</v>
      </c>
    </row>
    <row r="2124" spans="3:3">
      <c r="C2124">
        <v>48429</v>
      </c>
    </row>
    <row r="2125" spans="3:3">
      <c r="C2125">
        <v>48452</v>
      </c>
    </row>
    <row r="2126" spans="3:3">
      <c r="C2126">
        <v>48475</v>
      </c>
    </row>
    <row r="2127" spans="3:3">
      <c r="C2127">
        <v>48498</v>
      </c>
    </row>
    <row r="2128" spans="3:3">
      <c r="C2128">
        <v>48521</v>
      </c>
    </row>
    <row r="2129" spans="3:3">
      <c r="C2129">
        <v>48544</v>
      </c>
    </row>
    <row r="2130" spans="3:3">
      <c r="C2130">
        <v>48567</v>
      </c>
    </row>
    <row r="2131" spans="3:3">
      <c r="C2131">
        <v>48590</v>
      </c>
    </row>
    <row r="2132" spans="3:3">
      <c r="C2132">
        <v>48613</v>
      </c>
    </row>
    <row r="2133" spans="3:3">
      <c r="C2133">
        <v>48637</v>
      </c>
    </row>
    <row r="2134" spans="3:3">
      <c r="C2134">
        <v>48660</v>
      </c>
    </row>
    <row r="2135" spans="3:3">
      <c r="C2135">
        <v>48683</v>
      </c>
    </row>
    <row r="2136" spans="3:3">
      <c r="C2136">
        <v>48706</v>
      </c>
    </row>
    <row r="2137" spans="3:3">
      <c r="C2137">
        <v>48729</v>
      </c>
    </row>
    <row r="2138" spans="3:3">
      <c r="C2138">
        <v>48752</v>
      </c>
    </row>
    <row r="2139" spans="3:3">
      <c r="C2139">
        <v>48775</v>
      </c>
    </row>
    <row r="2140" spans="3:3">
      <c r="C2140">
        <v>48798</v>
      </c>
    </row>
    <row r="2141" spans="3:3">
      <c r="C2141">
        <v>48821</v>
      </c>
    </row>
    <row r="2142" spans="3:3">
      <c r="C2142">
        <v>48844</v>
      </c>
    </row>
    <row r="2143" spans="3:3">
      <c r="C2143">
        <v>48867</v>
      </c>
    </row>
    <row r="2144" spans="3:3">
      <c r="C2144">
        <v>48890</v>
      </c>
    </row>
    <row r="2145" spans="3:3">
      <c r="C2145">
        <v>48913</v>
      </c>
    </row>
    <row r="2146" spans="3:3">
      <c r="C2146">
        <v>48937</v>
      </c>
    </row>
    <row r="2147" spans="3:3">
      <c r="C2147">
        <v>48960</v>
      </c>
    </row>
    <row r="2148" spans="3:3">
      <c r="C2148">
        <v>48983</v>
      </c>
    </row>
    <row r="2149" spans="3:3">
      <c r="C2149">
        <v>49006</v>
      </c>
    </row>
    <row r="2150" spans="3:3">
      <c r="C2150">
        <v>49029</v>
      </c>
    </row>
    <row r="2151" spans="3:3">
      <c r="C2151">
        <v>49052</v>
      </c>
    </row>
    <row r="2152" spans="3:3">
      <c r="C2152">
        <v>49075</v>
      </c>
    </row>
    <row r="2153" spans="3:3">
      <c r="C2153">
        <v>49098</v>
      </c>
    </row>
    <row r="2154" spans="3:3">
      <c r="C2154">
        <v>49121</v>
      </c>
    </row>
    <row r="2155" spans="3:3">
      <c r="C2155">
        <v>49144</v>
      </c>
    </row>
    <row r="2156" spans="3:3">
      <c r="C2156">
        <v>49167</v>
      </c>
    </row>
    <row r="2157" spans="3:3">
      <c r="C2157">
        <v>49190</v>
      </c>
    </row>
    <row r="2158" spans="3:3">
      <c r="C2158">
        <v>49213</v>
      </c>
    </row>
    <row r="2159" spans="3:3">
      <c r="C2159">
        <v>49237</v>
      </c>
    </row>
    <row r="2160" spans="3:3">
      <c r="C2160">
        <v>49260</v>
      </c>
    </row>
    <row r="2161" spans="3:3">
      <c r="C2161">
        <v>49283</v>
      </c>
    </row>
    <row r="2162" spans="3:3">
      <c r="C2162">
        <v>49306</v>
      </c>
    </row>
    <row r="2163" spans="3:3">
      <c r="C2163">
        <v>49329</v>
      </c>
    </row>
    <row r="2164" spans="3:3">
      <c r="C2164">
        <v>49352</v>
      </c>
    </row>
    <row r="2165" spans="3:3">
      <c r="C2165">
        <v>49375</v>
      </c>
    </row>
    <row r="2166" spans="3:3">
      <c r="C2166">
        <v>49398</v>
      </c>
    </row>
    <row r="2167" spans="3:3">
      <c r="C2167">
        <v>49421</v>
      </c>
    </row>
    <row r="2168" spans="3:3">
      <c r="C2168">
        <v>49444</v>
      </c>
    </row>
    <row r="2169" spans="3:3">
      <c r="C2169">
        <v>49467</v>
      </c>
    </row>
    <row r="2170" spans="3:3">
      <c r="C2170">
        <v>49490</v>
      </c>
    </row>
    <row r="2171" spans="3:3">
      <c r="C2171">
        <v>49513</v>
      </c>
    </row>
    <row r="2172" spans="3:3">
      <c r="C2172">
        <v>49537</v>
      </c>
    </row>
    <row r="2173" spans="3:3">
      <c r="C2173">
        <v>49560</v>
      </c>
    </row>
    <row r="2174" spans="3:3">
      <c r="C2174">
        <v>49583</v>
      </c>
    </row>
    <row r="2175" spans="3:3">
      <c r="C2175">
        <v>49606</v>
      </c>
    </row>
    <row r="2176" spans="3:3">
      <c r="C2176">
        <v>49629</v>
      </c>
    </row>
    <row r="2177" spans="3:3">
      <c r="C2177">
        <v>49652</v>
      </c>
    </row>
    <row r="2178" spans="3:3">
      <c r="C2178">
        <v>49675</v>
      </c>
    </row>
    <row r="2179" spans="3:3">
      <c r="C2179">
        <v>49698</v>
      </c>
    </row>
    <row r="2180" spans="3:3">
      <c r="C2180">
        <v>49721</v>
      </c>
    </row>
    <row r="2181" spans="3:3">
      <c r="C2181">
        <v>49744</v>
      </c>
    </row>
    <row r="2182" spans="3:3">
      <c r="C2182">
        <v>49767</v>
      </c>
    </row>
    <row r="2183" spans="3:3">
      <c r="C2183">
        <v>49790</v>
      </c>
    </row>
    <row r="2184" spans="3:3">
      <c r="C2184">
        <v>49813</v>
      </c>
    </row>
    <row r="2185" spans="3:3">
      <c r="C2185">
        <v>49837</v>
      </c>
    </row>
    <row r="2186" spans="3:3">
      <c r="C2186">
        <v>49860</v>
      </c>
    </row>
    <row r="2187" spans="3:3">
      <c r="C2187">
        <v>49883</v>
      </c>
    </row>
    <row r="2188" spans="3:3">
      <c r="C2188">
        <v>49906</v>
      </c>
    </row>
    <row r="2189" spans="3:3">
      <c r="C2189">
        <v>49929</v>
      </c>
    </row>
    <row r="2190" spans="3:3">
      <c r="C2190">
        <v>49952</v>
      </c>
    </row>
    <row r="2191" spans="3:3">
      <c r="C2191">
        <v>49975</v>
      </c>
    </row>
    <row r="2192" spans="3:3">
      <c r="C2192">
        <v>49998</v>
      </c>
    </row>
    <row r="2193" spans="3:3">
      <c r="C2193">
        <v>50021</v>
      </c>
    </row>
    <row r="2194" spans="3:3">
      <c r="C2194">
        <v>50044</v>
      </c>
    </row>
    <row r="2195" spans="3:3">
      <c r="C2195">
        <v>50067</v>
      </c>
    </row>
    <row r="2196" spans="3:3">
      <c r="C2196">
        <v>50090</v>
      </c>
    </row>
    <row r="2197" spans="3:3">
      <c r="C2197">
        <v>50113</v>
      </c>
    </row>
    <row r="2198" spans="3:3">
      <c r="C2198">
        <v>50137</v>
      </c>
    </row>
    <row r="2199" spans="3:3">
      <c r="C2199">
        <v>50160</v>
      </c>
    </row>
    <row r="2200" spans="3:3">
      <c r="C2200">
        <v>50183</v>
      </c>
    </row>
    <row r="2201" spans="3:3">
      <c r="C2201">
        <v>50206</v>
      </c>
    </row>
    <row r="2202" spans="3:3">
      <c r="C2202">
        <v>50229</v>
      </c>
    </row>
    <row r="2203" spans="3:3">
      <c r="C2203">
        <v>50252</v>
      </c>
    </row>
    <row r="2204" spans="3:3">
      <c r="C2204">
        <v>50275</v>
      </c>
    </row>
    <row r="2205" spans="3:3">
      <c r="C2205">
        <v>50298</v>
      </c>
    </row>
    <row r="2206" spans="3:3">
      <c r="C2206">
        <v>50321</v>
      </c>
    </row>
    <row r="2207" spans="3:3">
      <c r="C2207">
        <v>50344</v>
      </c>
    </row>
    <row r="2208" spans="3:3">
      <c r="C2208">
        <v>50367</v>
      </c>
    </row>
    <row r="2209" spans="3:3">
      <c r="C2209">
        <v>50390</v>
      </c>
    </row>
    <row r="2210" spans="3:3">
      <c r="C2210">
        <v>50413</v>
      </c>
    </row>
    <row r="2211" spans="3:3">
      <c r="C2211">
        <v>50437</v>
      </c>
    </row>
    <row r="2212" spans="3:3">
      <c r="C2212">
        <v>50460</v>
      </c>
    </row>
    <row r="2213" spans="3:3">
      <c r="C2213">
        <v>50483</v>
      </c>
    </row>
    <row r="2214" spans="3:3">
      <c r="C2214">
        <v>50506</v>
      </c>
    </row>
    <row r="2215" spans="3:3">
      <c r="C2215">
        <v>50529</v>
      </c>
    </row>
    <row r="2216" spans="3:3">
      <c r="C2216">
        <v>50552</v>
      </c>
    </row>
    <row r="2217" spans="3:3">
      <c r="C2217">
        <v>50575</v>
      </c>
    </row>
    <row r="2218" spans="3:3">
      <c r="C2218">
        <v>50598</v>
      </c>
    </row>
    <row r="2219" spans="3:3">
      <c r="C2219">
        <v>50621</v>
      </c>
    </row>
    <row r="2220" spans="3:3">
      <c r="C2220">
        <v>50644</v>
      </c>
    </row>
    <row r="2221" spans="3:3">
      <c r="C2221">
        <v>50667</v>
      </c>
    </row>
    <row r="2222" spans="3:3">
      <c r="C2222">
        <v>50690</v>
      </c>
    </row>
    <row r="2223" spans="3:3">
      <c r="C2223">
        <v>50713</v>
      </c>
    </row>
    <row r="2224" spans="3:3">
      <c r="C2224">
        <v>50737</v>
      </c>
    </row>
    <row r="2225" spans="3:3">
      <c r="C2225">
        <v>50760</v>
      </c>
    </row>
    <row r="2226" spans="3:3">
      <c r="C2226">
        <v>50783</v>
      </c>
    </row>
    <row r="2227" spans="3:3">
      <c r="C2227">
        <v>50806</v>
      </c>
    </row>
    <row r="2228" spans="3:3">
      <c r="C2228">
        <v>50829</v>
      </c>
    </row>
    <row r="2229" spans="3:3">
      <c r="C2229">
        <v>50852</v>
      </c>
    </row>
    <row r="2230" spans="3:3">
      <c r="C2230">
        <v>50875</v>
      </c>
    </row>
    <row r="2231" spans="3:3">
      <c r="C2231">
        <v>50898</v>
      </c>
    </row>
    <row r="2232" spans="3:3">
      <c r="C2232">
        <v>50921</v>
      </c>
    </row>
    <row r="2233" spans="3:3">
      <c r="C2233">
        <v>50944</v>
      </c>
    </row>
    <row r="2234" spans="3:3">
      <c r="C2234">
        <v>50967</v>
      </c>
    </row>
    <row r="2235" spans="3:3">
      <c r="C2235">
        <v>50990</v>
      </c>
    </row>
    <row r="2236" spans="3:3">
      <c r="C2236">
        <v>51013</v>
      </c>
    </row>
    <row r="2237" spans="3:3">
      <c r="C2237">
        <v>51037</v>
      </c>
    </row>
    <row r="2238" spans="3:3">
      <c r="C2238">
        <v>51060</v>
      </c>
    </row>
    <row r="2239" spans="3:3">
      <c r="C2239">
        <v>51083</v>
      </c>
    </row>
    <row r="2240" spans="3:3">
      <c r="C2240">
        <v>51106</v>
      </c>
    </row>
    <row r="2241" spans="3:3">
      <c r="C2241">
        <v>51129</v>
      </c>
    </row>
    <row r="2242" spans="3:3">
      <c r="C2242">
        <v>51152</v>
      </c>
    </row>
    <row r="2243" spans="3:3">
      <c r="C2243">
        <v>51175</v>
      </c>
    </row>
    <row r="2244" spans="3:3">
      <c r="C2244">
        <v>51198</v>
      </c>
    </row>
    <row r="2245" spans="3:3">
      <c r="C2245">
        <v>51221</v>
      </c>
    </row>
    <row r="2246" spans="3:3">
      <c r="C2246">
        <v>51244</v>
      </c>
    </row>
    <row r="2247" spans="3:3">
      <c r="C2247">
        <v>51267</v>
      </c>
    </row>
    <row r="2248" spans="3:3">
      <c r="C2248">
        <v>51290</v>
      </c>
    </row>
    <row r="2249" spans="3:3">
      <c r="C2249">
        <v>51313</v>
      </c>
    </row>
    <row r="2250" spans="3:3">
      <c r="C2250">
        <v>51337</v>
      </c>
    </row>
    <row r="2251" spans="3:3">
      <c r="C2251">
        <v>51360</v>
      </c>
    </row>
    <row r="2252" spans="3:3">
      <c r="C2252">
        <v>51383</v>
      </c>
    </row>
    <row r="2253" spans="3:3">
      <c r="C2253">
        <v>51406</v>
      </c>
    </row>
    <row r="2254" spans="3:3">
      <c r="C2254">
        <v>51429</v>
      </c>
    </row>
    <row r="2255" spans="3:3">
      <c r="C2255">
        <v>51452</v>
      </c>
    </row>
    <row r="2256" spans="3:3">
      <c r="C2256">
        <v>51475</v>
      </c>
    </row>
    <row r="2257" spans="3:3">
      <c r="C2257">
        <v>51498</v>
      </c>
    </row>
    <row r="2258" spans="3:3">
      <c r="C2258">
        <v>51521</v>
      </c>
    </row>
    <row r="2259" spans="3:3">
      <c r="C2259">
        <v>51544</v>
      </c>
    </row>
    <row r="2260" spans="3:3">
      <c r="C2260">
        <v>51567</v>
      </c>
    </row>
    <row r="2261" spans="3:3">
      <c r="C2261">
        <v>51590</v>
      </c>
    </row>
    <row r="2262" spans="3:3">
      <c r="C2262">
        <v>51613</v>
      </c>
    </row>
    <row r="2263" spans="3:3">
      <c r="C2263">
        <v>51637</v>
      </c>
    </row>
    <row r="2264" spans="3:3">
      <c r="C2264">
        <v>51660</v>
      </c>
    </row>
    <row r="2265" spans="3:3">
      <c r="C2265">
        <v>51683</v>
      </c>
    </row>
    <row r="2266" spans="3:3">
      <c r="C2266">
        <v>51706</v>
      </c>
    </row>
    <row r="2267" spans="3:3">
      <c r="C2267">
        <v>51729</v>
      </c>
    </row>
    <row r="2268" spans="3:3">
      <c r="C2268">
        <v>51752</v>
      </c>
    </row>
    <row r="2269" spans="3:3">
      <c r="C2269">
        <v>51775</v>
      </c>
    </row>
    <row r="2270" spans="3:3">
      <c r="C2270">
        <v>51798</v>
      </c>
    </row>
    <row r="2271" spans="3:3">
      <c r="C2271">
        <v>51821</v>
      </c>
    </row>
    <row r="2272" spans="3:3">
      <c r="C2272">
        <v>51844</v>
      </c>
    </row>
    <row r="2273" spans="3:3">
      <c r="C2273">
        <v>51867</v>
      </c>
    </row>
    <row r="2274" spans="3:3">
      <c r="C2274">
        <v>51890</v>
      </c>
    </row>
    <row r="2275" spans="3:3">
      <c r="C2275">
        <v>51913</v>
      </c>
    </row>
    <row r="2276" spans="3:3">
      <c r="C2276">
        <v>51937</v>
      </c>
    </row>
    <row r="2277" spans="3:3">
      <c r="C2277">
        <v>51960</v>
      </c>
    </row>
    <row r="2278" spans="3:3">
      <c r="C2278">
        <v>51983</v>
      </c>
    </row>
    <row r="2279" spans="3:3">
      <c r="C2279">
        <v>52006</v>
      </c>
    </row>
    <row r="2280" spans="3:3">
      <c r="C2280">
        <v>52029</v>
      </c>
    </row>
    <row r="2281" spans="3:3">
      <c r="C2281">
        <v>52052</v>
      </c>
    </row>
    <row r="2282" spans="3:3">
      <c r="C2282">
        <v>52075</v>
      </c>
    </row>
    <row r="2283" spans="3:3">
      <c r="C2283">
        <v>52098</v>
      </c>
    </row>
    <row r="2284" spans="3:3">
      <c r="C2284">
        <v>52121</v>
      </c>
    </row>
    <row r="2285" spans="3:3">
      <c r="C2285">
        <v>52144</v>
      </c>
    </row>
    <row r="2286" spans="3:3">
      <c r="C2286">
        <v>52167</v>
      </c>
    </row>
    <row r="2287" spans="3:3">
      <c r="C2287">
        <v>52190</v>
      </c>
    </row>
    <row r="2288" spans="3:3">
      <c r="C2288">
        <v>52213</v>
      </c>
    </row>
    <row r="2289" spans="3:3">
      <c r="C2289">
        <v>52237</v>
      </c>
    </row>
    <row r="2290" spans="3:3">
      <c r="C2290">
        <v>52260</v>
      </c>
    </row>
    <row r="2291" spans="3:3">
      <c r="C2291">
        <v>52283</v>
      </c>
    </row>
    <row r="2292" spans="3:3">
      <c r="C2292">
        <v>52306</v>
      </c>
    </row>
    <row r="2293" spans="3:3">
      <c r="C2293">
        <v>52329</v>
      </c>
    </row>
    <row r="2294" spans="3:3">
      <c r="C2294">
        <v>52352</v>
      </c>
    </row>
    <row r="2295" spans="3:3">
      <c r="C2295">
        <v>52375</v>
      </c>
    </row>
    <row r="2296" spans="3:3">
      <c r="C2296">
        <v>52398</v>
      </c>
    </row>
    <row r="2297" spans="3:3">
      <c r="C2297">
        <v>52421</v>
      </c>
    </row>
    <row r="2298" spans="3:3">
      <c r="C2298">
        <v>52444</v>
      </c>
    </row>
    <row r="2299" spans="3:3">
      <c r="C2299">
        <v>52467</v>
      </c>
    </row>
    <row r="2300" spans="3:3">
      <c r="C2300">
        <v>52490</v>
      </c>
    </row>
    <row r="2301" spans="3:3">
      <c r="C2301">
        <v>52513</v>
      </c>
    </row>
    <row r="2302" spans="3:3">
      <c r="C2302">
        <v>52537</v>
      </c>
    </row>
    <row r="2303" spans="3:3">
      <c r="C2303">
        <v>52560</v>
      </c>
    </row>
    <row r="2304" spans="3:3">
      <c r="C2304">
        <v>52583</v>
      </c>
    </row>
    <row r="2305" spans="3:3">
      <c r="C2305">
        <v>52606</v>
      </c>
    </row>
    <row r="2306" spans="3:3">
      <c r="C2306">
        <v>52629</v>
      </c>
    </row>
    <row r="2307" spans="3:3">
      <c r="C2307">
        <v>52652</v>
      </c>
    </row>
    <row r="2308" spans="3:3">
      <c r="C2308">
        <v>52675</v>
      </c>
    </row>
    <row r="2309" spans="3:3">
      <c r="C2309">
        <v>52698</v>
      </c>
    </row>
    <row r="2310" spans="3:3">
      <c r="C2310">
        <v>52721</v>
      </c>
    </row>
    <row r="2311" spans="3:3">
      <c r="C2311">
        <v>52744</v>
      </c>
    </row>
    <row r="2312" spans="3:3">
      <c r="C2312">
        <v>52767</v>
      </c>
    </row>
    <row r="2313" spans="3:3">
      <c r="C2313">
        <v>52790</v>
      </c>
    </row>
    <row r="2314" spans="3:3">
      <c r="C2314">
        <v>52813</v>
      </c>
    </row>
    <row r="2315" spans="3:3">
      <c r="C2315">
        <v>52837</v>
      </c>
    </row>
    <row r="2316" spans="3:3">
      <c r="C2316">
        <v>52860</v>
      </c>
    </row>
    <row r="2317" spans="3:3">
      <c r="C2317">
        <v>52883</v>
      </c>
    </row>
    <row r="2318" spans="3:3">
      <c r="C2318">
        <v>52906</v>
      </c>
    </row>
    <row r="2319" spans="3:3">
      <c r="C2319">
        <v>52929</v>
      </c>
    </row>
    <row r="2320" spans="3:3">
      <c r="C2320">
        <v>52952</v>
      </c>
    </row>
    <row r="2321" spans="3:3">
      <c r="C2321">
        <v>52975</v>
      </c>
    </row>
    <row r="2322" spans="3:3">
      <c r="C2322">
        <v>52998</v>
      </c>
    </row>
    <row r="2323" spans="3:3">
      <c r="C2323">
        <v>53021</v>
      </c>
    </row>
    <row r="2324" spans="3:3">
      <c r="C2324">
        <v>53044</v>
      </c>
    </row>
    <row r="2325" spans="3:3">
      <c r="C2325">
        <v>53067</v>
      </c>
    </row>
    <row r="2326" spans="3:3">
      <c r="C2326">
        <v>53090</v>
      </c>
    </row>
    <row r="2327" spans="3:3">
      <c r="C2327">
        <v>53113</v>
      </c>
    </row>
    <row r="2328" spans="3:3">
      <c r="C2328">
        <v>53137</v>
      </c>
    </row>
    <row r="2329" spans="3:3">
      <c r="C2329">
        <v>53160</v>
      </c>
    </row>
    <row r="2330" spans="3:3">
      <c r="C2330">
        <v>53183</v>
      </c>
    </row>
    <row r="2331" spans="3:3">
      <c r="C2331">
        <v>53206</v>
      </c>
    </row>
    <row r="2332" spans="3:3">
      <c r="C2332">
        <v>53229</v>
      </c>
    </row>
    <row r="2333" spans="3:3">
      <c r="C2333">
        <v>53252</v>
      </c>
    </row>
    <row r="2334" spans="3:3">
      <c r="C2334">
        <v>53275</v>
      </c>
    </row>
    <row r="2335" spans="3:3">
      <c r="C2335">
        <v>53298</v>
      </c>
    </row>
    <row r="2336" spans="3:3">
      <c r="C2336">
        <v>53321</v>
      </c>
    </row>
    <row r="2337" spans="3:3">
      <c r="C2337">
        <v>53344</v>
      </c>
    </row>
    <row r="2338" spans="3:3">
      <c r="C2338">
        <v>53367</v>
      </c>
    </row>
    <row r="2339" spans="3:3">
      <c r="C2339">
        <v>53390</v>
      </c>
    </row>
    <row r="2340" spans="3:3">
      <c r="C2340">
        <v>53413</v>
      </c>
    </row>
    <row r="2341" spans="3:3">
      <c r="C2341">
        <v>53437</v>
      </c>
    </row>
    <row r="2342" spans="3:3">
      <c r="C2342">
        <v>53460</v>
      </c>
    </row>
    <row r="2343" spans="3:3">
      <c r="C2343">
        <v>53483</v>
      </c>
    </row>
    <row r="2344" spans="3:3">
      <c r="C2344">
        <v>53506</v>
      </c>
    </row>
    <row r="2345" spans="3:3">
      <c r="C2345">
        <v>53529</v>
      </c>
    </row>
    <row r="2346" spans="3:3">
      <c r="C2346">
        <v>53552</v>
      </c>
    </row>
    <row r="2347" spans="3:3">
      <c r="C2347">
        <v>53575</v>
      </c>
    </row>
    <row r="2348" spans="3:3">
      <c r="C2348">
        <v>53598</v>
      </c>
    </row>
    <row r="2349" spans="3:3">
      <c r="C2349">
        <v>53621</v>
      </c>
    </row>
    <row r="2350" spans="3:3">
      <c r="C2350">
        <v>53644</v>
      </c>
    </row>
    <row r="2351" spans="3:3">
      <c r="C2351">
        <v>53667</v>
      </c>
    </row>
    <row r="2352" spans="3:3">
      <c r="C2352">
        <v>53690</v>
      </c>
    </row>
    <row r="2353" spans="3:3">
      <c r="C2353">
        <v>53713</v>
      </c>
    </row>
    <row r="2354" spans="3:3">
      <c r="C2354">
        <v>53737</v>
      </c>
    </row>
    <row r="2355" spans="3:3">
      <c r="C2355">
        <v>53760</v>
      </c>
    </row>
    <row r="2356" spans="3:3">
      <c r="C2356">
        <v>53783</v>
      </c>
    </row>
    <row r="2357" spans="3:3">
      <c r="C2357">
        <v>53806</v>
      </c>
    </row>
    <row r="2358" spans="3:3">
      <c r="C2358">
        <v>53829</v>
      </c>
    </row>
    <row r="2359" spans="3:3">
      <c r="C2359">
        <v>53852</v>
      </c>
    </row>
    <row r="2360" spans="3:3">
      <c r="C2360">
        <v>53875</v>
      </c>
    </row>
    <row r="2361" spans="3:3">
      <c r="C2361">
        <v>53898</v>
      </c>
    </row>
    <row r="2362" spans="3:3">
      <c r="C2362">
        <v>53921</v>
      </c>
    </row>
    <row r="2363" spans="3:3">
      <c r="C2363">
        <v>53944</v>
      </c>
    </row>
    <row r="2364" spans="3:3">
      <c r="C2364">
        <v>53967</v>
      </c>
    </row>
    <row r="2365" spans="3:3">
      <c r="C2365">
        <v>53990</v>
      </c>
    </row>
    <row r="2366" spans="3:3">
      <c r="C2366">
        <v>54013</v>
      </c>
    </row>
    <row r="2367" spans="3:3">
      <c r="C2367">
        <v>54037</v>
      </c>
    </row>
    <row r="2368" spans="3:3">
      <c r="C2368">
        <v>54060</v>
      </c>
    </row>
    <row r="2369" spans="3:3">
      <c r="C2369">
        <v>54083</v>
      </c>
    </row>
    <row r="2370" spans="3:3">
      <c r="C2370">
        <v>54106</v>
      </c>
    </row>
    <row r="2371" spans="3:3">
      <c r="C2371">
        <v>54129</v>
      </c>
    </row>
    <row r="2372" spans="3:3">
      <c r="C2372">
        <v>54152</v>
      </c>
    </row>
    <row r="2373" spans="3:3">
      <c r="C2373">
        <v>54175</v>
      </c>
    </row>
    <row r="2374" spans="3:3">
      <c r="C2374">
        <v>54198</v>
      </c>
    </row>
    <row r="2375" spans="3:3">
      <c r="C2375">
        <v>54221</v>
      </c>
    </row>
    <row r="2376" spans="3:3">
      <c r="C2376">
        <v>54244</v>
      </c>
    </row>
    <row r="2377" spans="3:3">
      <c r="C2377">
        <v>54267</v>
      </c>
    </row>
    <row r="2378" spans="3:3">
      <c r="C2378">
        <v>54290</v>
      </c>
    </row>
    <row r="2379" spans="3:3">
      <c r="C2379">
        <v>54313</v>
      </c>
    </row>
    <row r="2380" spans="3:3">
      <c r="C2380">
        <v>54337</v>
      </c>
    </row>
    <row r="2381" spans="3:3">
      <c r="C2381">
        <v>54360</v>
      </c>
    </row>
    <row r="2382" spans="3:3">
      <c r="C2382">
        <v>54383</v>
      </c>
    </row>
    <row r="2383" spans="3:3">
      <c r="C2383">
        <v>54406</v>
      </c>
    </row>
    <row r="2384" spans="3:3">
      <c r="C2384">
        <v>54429</v>
      </c>
    </row>
    <row r="2385" spans="3:3">
      <c r="C2385">
        <v>54452</v>
      </c>
    </row>
    <row r="2386" spans="3:3">
      <c r="C2386">
        <v>54475</v>
      </c>
    </row>
    <row r="2387" spans="3:3">
      <c r="C2387">
        <v>54498</v>
      </c>
    </row>
    <row r="2388" spans="3:3">
      <c r="C2388">
        <v>54521</v>
      </c>
    </row>
    <row r="2389" spans="3:3">
      <c r="C2389">
        <v>54544</v>
      </c>
    </row>
    <row r="2390" spans="3:3">
      <c r="C2390">
        <v>54567</v>
      </c>
    </row>
    <row r="2391" spans="3:3">
      <c r="C2391">
        <v>54590</v>
      </c>
    </row>
    <row r="2392" spans="3:3">
      <c r="C2392">
        <v>54613</v>
      </c>
    </row>
    <row r="2393" spans="3:3">
      <c r="C2393">
        <v>54637</v>
      </c>
    </row>
    <row r="2394" spans="3:3">
      <c r="C2394">
        <v>54660</v>
      </c>
    </row>
    <row r="2395" spans="3:3">
      <c r="C2395">
        <v>54683</v>
      </c>
    </row>
    <row r="2396" spans="3:3">
      <c r="C2396">
        <v>54706</v>
      </c>
    </row>
    <row r="2397" spans="3:3">
      <c r="C2397">
        <v>54729</v>
      </c>
    </row>
    <row r="2398" spans="3:3">
      <c r="C2398">
        <v>54752</v>
      </c>
    </row>
    <row r="2399" spans="3:3">
      <c r="C2399">
        <v>54775</v>
      </c>
    </row>
    <row r="2400" spans="3:3">
      <c r="C2400">
        <v>54798</v>
      </c>
    </row>
    <row r="2401" spans="3:3">
      <c r="C2401">
        <v>54821</v>
      </c>
    </row>
    <row r="2402" spans="3:3">
      <c r="C2402">
        <v>54844</v>
      </c>
    </row>
    <row r="2403" spans="3:3">
      <c r="C2403">
        <v>54867</v>
      </c>
    </row>
    <row r="2404" spans="3:3">
      <c r="C2404">
        <v>54890</v>
      </c>
    </row>
    <row r="2405" spans="3:3">
      <c r="C2405">
        <v>54913</v>
      </c>
    </row>
    <row r="2406" spans="3:3">
      <c r="C2406">
        <v>54937</v>
      </c>
    </row>
    <row r="2407" spans="3:3">
      <c r="C2407">
        <v>54960</v>
      </c>
    </row>
    <row r="2408" spans="3:3">
      <c r="C2408">
        <v>54983</v>
      </c>
    </row>
    <row r="2409" spans="3:3">
      <c r="C2409">
        <v>55006</v>
      </c>
    </row>
    <row r="2410" spans="3:3">
      <c r="C2410">
        <v>55029</v>
      </c>
    </row>
    <row r="2411" spans="3:3">
      <c r="C2411">
        <v>55052</v>
      </c>
    </row>
    <row r="2412" spans="3:3">
      <c r="C2412">
        <v>55075</v>
      </c>
    </row>
    <row r="2413" spans="3:3">
      <c r="C2413">
        <v>55098</v>
      </c>
    </row>
    <row r="2414" spans="3:3">
      <c r="C2414">
        <v>55121</v>
      </c>
    </row>
    <row r="2415" spans="3:3">
      <c r="C2415">
        <v>55144</v>
      </c>
    </row>
    <row r="2416" spans="3:3">
      <c r="C2416">
        <v>55167</v>
      </c>
    </row>
    <row r="2417" spans="3:3">
      <c r="C2417">
        <v>55190</v>
      </c>
    </row>
    <row r="2418" spans="3:3">
      <c r="C2418">
        <v>55213</v>
      </c>
    </row>
    <row r="2419" spans="3:3">
      <c r="C2419">
        <v>55237</v>
      </c>
    </row>
    <row r="2420" spans="3:3">
      <c r="C2420">
        <v>55260</v>
      </c>
    </row>
    <row r="2421" spans="3:3">
      <c r="C2421">
        <v>55283</v>
      </c>
    </row>
    <row r="2422" spans="3:3">
      <c r="C2422">
        <v>55306</v>
      </c>
    </row>
    <row r="2423" spans="3:3">
      <c r="C2423">
        <v>55329</v>
      </c>
    </row>
    <row r="2424" spans="3:3">
      <c r="C2424">
        <v>55352</v>
      </c>
    </row>
    <row r="2425" spans="3:3">
      <c r="C2425">
        <v>55375</v>
      </c>
    </row>
    <row r="2426" spans="3:3">
      <c r="C2426">
        <v>55398</v>
      </c>
    </row>
    <row r="2427" spans="3:3">
      <c r="C2427">
        <v>55421</v>
      </c>
    </row>
    <row r="2428" spans="3:3">
      <c r="C2428">
        <v>55444</v>
      </c>
    </row>
    <row r="2429" spans="3:3">
      <c r="C2429">
        <v>55467</v>
      </c>
    </row>
    <row r="2430" spans="3:3">
      <c r="C2430">
        <v>55490</v>
      </c>
    </row>
    <row r="2431" spans="3:3">
      <c r="C2431">
        <v>55513</v>
      </c>
    </row>
    <row r="2432" spans="3:3">
      <c r="C2432">
        <v>55537</v>
      </c>
    </row>
    <row r="2433" spans="3:3">
      <c r="C2433">
        <v>55560</v>
      </c>
    </row>
    <row r="2434" spans="3:3">
      <c r="C2434">
        <v>55583</v>
      </c>
    </row>
    <row r="2435" spans="3:3">
      <c r="C2435">
        <v>55606</v>
      </c>
    </row>
    <row r="2436" spans="3:3">
      <c r="C2436">
        <v>55629</v>
      </c>
    </row>
    <row r="2437" spans="3:3">
      <c r="C2437">
        <v>55652</v>
      </c>
    </row>
    <row r="2438" spans="3:3">
      <c r="C2438">
        <v>55675</v>
      </c>
    </row>
    <row r="2439" spans="3:3">
      <c r="C2439">
        <v>55698</v>
      </c>
    </row>
    <row r="2440" spans="3:3">
      <c r="C2440">
        <v>55721</v>
      </c>
    </row>
    <row r="2441" spans="3:3">
      <c r="C2441">
        <v>55744</v>
      </c>
    </row>
    <row r="2442" spans="3:3">
      <c r="C2442">
        <v>55767</v>
      </c>
    </row>
    <row r="2443" spans="3:3">
      <c r="C2443">
        <v>55790</v>
      </c>
    </row>
    <row r="2444" spans="3:3">
      <c r="C2444">
        <v>55813</v>
      </c>
    </row>
    <row r="2445" spans="3:3">
      <c r="C2445">
        <v>55837</v>
      </c>
    </row>
    <row r="2446" spans="3:3">
      <c r="C2446">
        <v>55860</v>
      </c>
    </row>
    <row r="2447" spans="3:3">
      <c r="C2447">
        <v>55883</v>
      </c>
    </row>
    <row r="2448" spans="3:3">
      <c r="C2448">
        <v>55906</v>
      </c>
    </row>
    <row r="2449" spans="3:3">
      <c r="C2449">
        <v>55929</v>
      </c>
    </row>
    <row r="2450" spans="3:3">
      <c r="C2450">
        <v>55952</v>
      </c>
    </row>
    <row r="2451" spans="3:3">
      <c r="C2451">
        <v>55975</v>
      </c>
    </row>
    <row r="2452" spans="3:3">
      <c r="C2452">
        <v>55998</v>
      </c>
    </row>
    <row r="2453" spans="3:3">
      <c r="C2453">
        <v>56021</v>
      </c>
    </row>
    <row r="2454" spans="3:3">
      <c r="C2454">
        <v>56044</v>
      </c>
    </row>
    <row r="2455" spans="3:3">
      <c r="C2455">
        <v>56067</v>
      </c>
    </row>
    <row r="2456" spans="3:3">
      <c r="C2456">
        <v>56090</v>
      </c>
    </row>
    <row r="2457" spans="3:3">
      <c r="C2457">
        <v>56113</v>
      </c>
    </row>
    <row r="2458" spans="3:3">
      <c r="C2458">
        <v>56137</v>
      </c>
    </row>
    <row r="2459" spans="3:3">
      <c r="C2459">
        <v>56160</v>
      </c>
    </row>
    <row r="2460" spans="3:3">
      <c r="C2460">
        <v>56183</v>
      </c>
    </row>
    <row r="2461" spans="3:3">
      <c r="C2461">
        <v>56206</v>
      </c>
    </row>
    <row r="2462" spans="3:3">
      <c r="C2462">
        <v>56229</v>
      </c>
    </row>
    <row r="2463" spans="3:3">
      <c r="C2463">
        <v>56252</v>
      </c>
    </row>
    <row r="2464" spans="3:3">
      <c r="C2464">
        <v>56275</v>
      </c>
    </row>
    <row r="2465" spans="3:3">
      <c r="C2465">
        <v>56298</v>
      </c>
    </row>
    <row r="2466" spans="3:3">
      <c r="C2466">
        <v>56321</v>
      </c>
    </row>
    <row r="2467" spans="3:3">
      <c r="C2467">
        <v>56344</v>
      </c>
    </row>
    <row r="2468" spans="3:3">
      <c r="C2468">
        <v>56367</v>
      </c>
    </row>
    <row r="2469" spans="3:3">
      <c r="C2469">
        <v>56390</v>
      </c>
    </row>
    <row r="2470" spans="3:3">
      <c r="C2470">
        <v>56413</v>
      </c>
    </row>
    <row r="2471" spans="3:3">
      <c r="C2471">
        <v>56437</v>
      </c>
    </row>
    <row r="2472" spans="3:3">
      <c r="C2472">
        <v>56460</v>
      </c>
    </row>
    <row r="2473" spans="3:3">
      <c r="C2473">
        <v>56483</v>
      </c>
    </row>
    <row r="2474" spans="3:3">
      <c r="C2474">
        <v>56506</v>
      </c>
    </row>
    <row r="2475" spans="3:3">
      <c r="C2475">
        <v>56529</v>
      </c>
    </row>
    <row r="2476" spans="3:3">
      <c r="C2476">
        <v>56552</v>
      </c>
    </row>
    <row r="2477" spans="3:3">
      <c r="C2477">
        <v>56575</v>
      </c>
    </row>
    <row r="2478" spans="3:3">
      <c r="C2478">
        <v>56598</v>
      </c>
    </row>
    <row r="2479" spans="3:3">
      <c r="C2479">
        <v>56621</v>
      </c>
    </row>
    <row r="2480" spans="3:3">
      <c r="C2480">
        <v>56644</v>
      </c>
    </row>
    <row r="2481" spans="3:3">
      <c r="C2481">
        <v>56667</v>
      </c>
    </row>
    <row r="2482" spans="3:3">
      <c r="C2482">
        <v>56690</v>
      </c>
    </row>
    <row r="2483" spans="3:3">
      <c r="C2483">
        <v>56713</v>
      </c>
    </row>
    <row r="2484" spans="3:3">
      <c r="C2484">
        <v>56737</v>
      </c>
    </row>
    <row r="2485" spans="3:3">
      <c r="C2485">
        <v>56760</v>
      </c>
    </row>
    <row r="2486" spans="3:3">
      <c r="C2486">
        <v>56783</v>
      </c>
    </row>
    <row r="2487" spans="3:3">
      <c r="C2487">
        <v>56806</v>
      </c>
    </row>
    <row r="2488" spans="3:3">
      <c r="C2488">
        <v>56829</v>
      </c>
    </row>
    <row r="2489" spans="3:3">
      <c r="C2489">
        <v>56852</v>
      </c>
    </row>
    <row r="2490" spans="3:3">
      <c r="C2490">
        <v>56875</v>
      </c>
    </row>
    <row r="2491" spans="3:3">
      <c r="C2491">
        <v>56898</v>
      </c>
    </row>
    <row r="2492" spans="3:3">
      <c r="C2492">
        <v>56921</v>
      </c>
    </row>
    <row r="2493" spans="3:3">
      <c r="C2493">
        <v>56944</v>
      </c>
    </row>
    <row r="2494" spans="3:3">
      <c r="C2494">
        <v>56967</v>
      </c>
    </row>
    <row r="2495" spans="3:3">
      <c r="C2495">
        <v>56990</v>
      </c>
    </row>
    <row r="2496" spans="3:3">
      <c r="C2496">
        <v>57013</v>
      </c>
    </row>
    <row r="2497" spans="3:3">
      <c r="C2497">
        <v>57037</v>
      </c>
    </row>
    <row r="2498" spans="3:3">
      <c r="C2498">
        <v>57060</v>
      </c>
    </row>
    <row r="2499" spans="3:3">
      <c r="C2499">
        <v>57083</v>
      </c>
    </row>
    <row r="2500" spans="3:3">
      <c r="C2500">
        <v>57106</v>
      </c>
    </row>
    <row r="2501" spans="3:3">
      <c r="C2501">
        <v>57129</v>
      </c>
    </row>
    <row r="2502" spans="3:3">
      <c r="C2502">
        <v>57152</v>
      </c>
    </row>
    <row r="2503" spans="3:3">
      <c r="C2503">
        <v>57175</v>
      </c>
    </row>
    <row r="2504" spans="3:3">
      <c r="C2504">
        <v>57198</v>
      </c>
    </row>
    <row r="2505" spans="3:3">
      <c r="C2505">
        <v>57221</v>
      </c>
    </row>
    <row r="2506" spans="3:3">
      <c r="C2506">
        <v>57244</v>
      </c>
    </row>
    <row r="2507" spans="3:3">
      <c r="C2507">
        <v>57267</v>
      </c>
    </row>
    <row r="2508" spans="3:3">
      <c r="C2508">
        <v>57290</v>
      </c>
    </row>
    <row r="2509" spans="3:3">
      <c r="C2509">
        <v>57313</v>
      </c>
    </row>
    <row r="2510" spans="3:3">
      <c r="C2510">
        <v>57337</v>
      </c>
    </row>
    <row r="2511" spans="3:3">
      <c r="C2511">
        <v>57360</v>
      </c>
    </row>
    <row r="2512" spans="3:3">
      <c r="C2512">
        <v>57383</v>
      </c>
    </row>
    <row r="2513" spans="3:3">
      <c r="C2513">
        <v>57406</v>
      </c>
    </row>
    <row r="2514" spans="3:3">
      <c r="C2514">
        <v>57429</v>
      </c>
    </row>
    <row r="2515" spans="3:3">
      <c r="C2515">
        <v>57452</v>
      </c>
    </row>
    <row r="2516" spans="3:3">
      <c r="C2516">
        <v>57475</v>
      </c>
    </row>
    <row r="2517" spans="3:3">
      <c r="C2517">
        <v>57498</v>
      </c>
    </row>
    <row r="2518" spans="3:3">
      <c r="C2518">
        <v>57521</v>
      </c>
    </row>
    <row r="2519" spans="3:3">
      <c r="C2519">
        <v>57544</v>
      </c>
    </row>
    <row r="2520" spans="3:3">
      <c r="C2520">
        <v>57567</v>
      </c>
    </row>
    <row r="2521" spans="3:3">
      <c r="C2521">
        <v>57590</v>
      </c>
    </row>
    <row r="2522" spans="3:3">
      <c r="C2522">
        <v>57613</v>
      </c>
    </row>
    <row r="2523" spans="3:3">
      <c r="C2523">
        <v>57637</v>
      </c>
    </row>
    <row r="2524" spans="3:3">
      <c r="C2524">
        <v>57660</v>
      </c>
    </row>
    <row r="2525" spans="3:3">
      <c r="C2525">
        <v>57683</v>
      </c>
    </row>
    <row r="2526" spans="3:3">
      <c r="C2526">
        <v>57706</v>
      </c>
    </row>
    <row r="2527" spans="3:3">
      <c r="C2527">
        <v>57729</v>
      </c>
    </row>
    <row r="2528" spans="3:3">
      <c r="C2528">
        <v>57752</v>
      </c>
    </row>
    <row r="2529" spans="3:3">
      <c r="C2529">
        <v>57775</v>
      </c>
    </row>
    <row r="2530" spans="3:3">
      <c r="C2530">
        <v>57798</v>
      </c>
    </row>
    <row r="2531" spans="3:3">
      <c r="C2531">
        <v>57821</v>
      </c>
    </row>
    <row r="2532" spans="3:3">
      <c r="C2532">
        <v>57844</v>
      </c>
    </row>
    <row r="2533" spans="3:3">
      <c r="C2533">
        <v>57867</v>
      </c>
    </row>
    <row r="2534" spans="3:3">
      <c r="C2534">
        <v>57890</v>
      </c>
    </row>
    <row r="2535" spans="3:3">
      <c r="C2535">
        <v>57913</v>
      </c>
    </row>
    <row r="2536" spans="3:3">
      <c r="C2536">
        <v>57937</v>
      </c>
    </row>
    <row r="2537" spans="3:3">
      <c r="C2537">
        <v>57960</v>
      </c>
    </row>
    <row r="2538" spans="3:3">
      <c r="C2538">
        <v>57983</v>
      </c>
    </row>
    <row r="2539" spans="3:3">
      <c r="C2539">
        <v>58006</v>
      </c>
    </row>
    <row r="2540" spans="3:3">
      <c r="C2540">
        <v>58029</v>
      </c>
    </row>
    <row r="2541" spans="3:3">
      <c r="C2541">
        <v>58052</v>
      </c>
    </row>
    <row r="2542" spans="3:3">
      <c r="C2542">
        <v>58075</v>
      </c>
    </row>
    <row r="2543" spans="3:3">
      <c r="C2543">
        <v>58098</v>
      </c>
    </row>
    <row r="2544" spans="3:3">
      <c r="C2544">
        <v>58121</v>
      </c>
    </row>
    <row r="2545" spans="3:3">
      <c r="C2545">
        <v>58144</v>
      </c>
    </row>
    <row r="2546" spans="3:3">
      <c r="C2546">
        <v>58167</v>
      </c>
    </row>
    <row r="2547" spans="3:3">
      <c r="C2547">
        <v>58190</v>
      </c>
    </row>
    <row r="2548" spans="3:3">
      <c r="C2548">
        <v>58213</v>
      </c>
    </row>
    <row r="2549" spans="3:3">
      <c r="C2549">
        <v>58237</v>
      </c>
    </row>
    <row r="2550" spans="3:3">
      <c r="C2550">
        <v>58260</v>
      </c>
    </row>
    <row r="2551" spans="3:3">
      <c r="C2551">
        <v>58283</v>
      </c>
    </row>
    <row r="2552" spans="3:3">
      <c r="C2552">
        <v>58306</v>
      </c>
    </row>
    <row r="2553" spans="3:3">
      <c r="C2553">
        <v>58329</v>
      </c>
    </row>
    <row r="2554" spans="3:3">
      <c r="C2554">
        <v>58352</v>
      </c>
    </row>
    <row r="2555" spans="3:3">
      <c r="C2555">
        <v>58375</v>
      </c>
    </row>
    <row r="2556" spans="3:3">
      <c r="C2556">
        <v>58398</v>
      </c>
    </row>
    <row r="2557" spans="3:3">
      <c r="C2557">
        <v>58421</v>
      </c>
    </row>
    <row r="2558" spans="3:3">
      <c r="C2558">
        <v>58444</v>
      </c>
    </row>
    <row r="2559" spans="3:3">
      <c r="C2559">
        <v>58467</v>
      </c>
    </row>
    <row r="2560" spans="3:3">
      <c r="C2560">
        <v>58490</v>
      </c>
    </row>
    <row r="2561" spans="3:3">
      <c r="C2561">
        <v>58513</v>
      </c>
    </row>
    <row r="2562" spans="3:3">
      <c r="C2562">
        <v>58537</v>
      </c>
    </row>
    <row r="2563" spans="3:3">
      <c r="C2563">
        <v>58560</v>
      </c>
    </row>
    <row r="2564" spans="3:3">
      <c r="C2564">
        <v>58583</v>
      </c>
    </row>
    <row r="2565" spans="3:3">
      <c r="C2565">
        <v>58606</v>
      </c>
    </row>
    <row r="2566" spans="3:3">
      <c r="C2566">
        <v>58629</v>
      </c>
    </row>
    <row r="2567" spans="3:3">
      <c r="C2567">
        <v>58652</v>
      </c>
    </row>
    <row r="2568" spans="3:3">
      <c r="C2568">
        <v>58675</v>
      </c>
    </row>
    <row r="2569" spans="3:3">
      <c r="C2569">
        <v>58698</v>
      </c>
    </row>
    <row r="2570" spans="3:3">
      <c r="C2570">
        <v>58721</v>
      </c>
    </row>
    <row r="2571" spans="3:3">
      <c r="C2571">
        <v>58744</v>
      </c>
    </row>
    <row r="2572" spans="3:3">
      <c r="C2572">
        <v>58767</v>
      </c>
    </row>
    <row r="2573" spans="3:3">
      <c r="C2573">
        <v>58790</v>
      </c>
    </row>
    <row r="2574" spans="3:3">
      <c r="C2574">
        <v>58813</v>
      </c>
    </row>
    <row r="2575" spans="3:3">
      <c r="C2575">
        <v>58837</v>
      </c>
    </row>
    <row r="2576" spans="3:3">
      <c r="C2576">
        <v>58860</v>
      </c>
    </row>
    <row r="2577" spans="3:3">
      <c r="C2577">
        <v>58883</v>
      </c>
    </row>
    <row r="2578" spans="3:3">
      <c r="C2578">
        <v>58906</v>
      </c>
    </row>
    <row r="2579" spans="3:3">
      <c r="C2579">
        <v>58929</v>
      </c>
    </row>
    <row r="2580" spans="3:3">
      <c r="C2580">
        <v>58952</v>
      </c>
    </row>
    <row r="2581" spans="3:3">
      <c r="C2581">
        <v>58975</v>
      </c>
    </row>
    <row r="2582" spans="3:3">
      <c r="C2582">
        <v>58998</v>
      </c>
    </row>
    <row r="2583" spans="3:3">
      <c r="C2583">
        <v>59021</v>
      </c>
    </row>
    <row r="2584" spans="3:3">
      <c r="C2584">
        <v>59044</v>
      </c>
    </row>
    <row r="2585" spans="3:3">
      <c r="C2585">
        <v>59067</v>
      </c>
    </row>
    <row r="2586" spans="3:3">
      <c r="C2586">
        <v>59090</v>
      </c>
    </row>
    <row r="2587" spans="3:3">
      <c r="C2587">
        <v>59113</v>
      </c>
    </row>
    <row r="2588" spans="3:3">
      <c r="C2588">
        <v>59137</v>
      </c>
    </row>
    <row r="2589" spans="3:3">
      <c r="C2589">
        <v>59160</v>
      </c>
    </row>
    <row r="2590" spans="3:3">
      <c r="C2590">
        <v>59183</v>
      </c>
    </row>
    <row r="2591" spans="3:3">
      <c r="C2591">
        <v>59206</v>
      </c>
    </row>
    <row r="2592" spans="3:3">
      <c r="C2592">
        <v>59229</v>
      </c>
    </row>
    <row r="2593" spans="3:3">
      <c r="C2593">
        <v>59252</v>
      </c>
    </row>
    <row r="2594" spans="3:3">
      <c r="C2594">
        <v>59275</v>
      </c>
    </row>
    <row r="2595" spans="3:3">
      <c r="C2595">
        <v>59298</v>
      </c>
    </row>
    <row r="2596" spans="3:3">
      <c r="C2596">
        <v>59321</v>
      </c>
    </row>
    <row r="2597" spans="3:3">
      <c r="C2597">
        <v>59344</v>
      </c>
    </row>
    <row r="2598" spans="3:3">
      <c r="C2598">
        <v>59367</v>
      </c>
    </row>
    <row r="2599" spans="3:3">
      <c r="C2599">
        <v>59390</v>
      </c>
    </row>
    <row r="2600" spans="3:3">
      <c r="C2600">
        <v>59413</v>
      </c>
    </row>
    <row r="2601" spans="3:3">
      <c r="C2601">
        <v>59437</v>
      </c>
    </row>
    <row r="2602" spans="3:3">
      <c r="C2602">
        <v>59460</v>
      </c>
    </row>
    <row r="2603" spans="3:3">
      <c r="C2603">
        <v>59483</v>
      </c>
    </row>
    <row r="2604" spans="3:3">
      <c r="C2604">
        <v>59506</v>
      </c>
    </row>
    <row r="2605" spans="3:3">
      <c r="C2605">
        <v>59529</v>
      </c>
    </row>
    <row r="2606" spans="3:3">
      <c r="C2606">
        <v>59552</v>
      </c>
    </row>
    <row r="2607" spans="3:3">
      <c r="C2607">
        <v>59575</v>
      </c>
    </row>
    <row r="2608" spans="3:3">
      <c r="C2608">
        <v>59598</v>
      </c>
    </row>
    <row r="2609" spans="3:3">
      <c r="C2609">
        <v>59621</v>
      </c>
    </row>
    <row r="2610" spans="3:3">
      <c r="C2610">
        <v>59644</v>
      </c>
    </row>
    <row r="2611" spans="3:3">
      <c r="C2611">
        <v>59667</v>
      </c>
    </row>
    <row r="2612" spans="3:3">
      <c r="C2612">
        <v>59690</v>
      </c>
    </row>
    <row r="2613" spans="3:3">
      <c r="C2613">
        <v>59713</v>
      </c>
    </row>
    <row r="2614" spans="3:3">
      <c r="C2614">
        <v>59737</v>
      </c>
    </row>
    <row r="2615" spans="3:3">
      <c r="C2615">
        <v>59760</v>
      </c>
    </row>
    <row r="2616" spans="3:3">
      <c r="C2616">
        <v>59783</v>
      </c>
    </row>
    <row r="2617" spans="3:3">
      <c r="C2617">
        <v>59806</v>
      </c>
    </row>
    <row r="2618" spans="3:3">
      <c r="C2618">
        <v>59829</v>
      </c>
    </row>
    <row r="2619" spans="3:3">
      <c r="C2619">
        <v>59852</v>
      </c>
    </row>
    <row r="2620" spans="3:3">
      <c r="C2620">
        <v>59875</v>
      </c>
    </row>
    <row r="2621" spans="3:3">
      <c r="C2621">
        <v>59898</v>
      </c>
    </row>
    <row r="2622" spans="3:3">
      <c r="C2622">
        <v>59921</v>
      </c>
    </row>
    <row r="2623" spans="3:3">
      <c r="C2623">
        <v>59944</v>
      </c>
    </row>
    <row r="2624" spans="3:3">
      <c r="C2624">
        <v>59967</v>
      </c>
    </row>
    <row r="2625" spans="3:3">
      <c r="C2625">
        <v>59990</v>
      </c>
    </row>
    <row r="2626" spans="3:3">
      <c r="C2626">
        <v>60013</v>
      </c>
    </row>
    <row r="2627" spans="3:3">
      <c r="C2627">
        <v>60037</v>
      </c>
    </row>
    <row r="2628" spans="3:3">
      <c r="C2628">
        <v>60060</v>
      </c>
    </row>
    <row r="2629" spans="3:3">
      <c r="C2629">
        <v>60083</v>
      </c>
    </row>
    <row r="2630" spans="3:3">
      <c r="C2630">
        <v>60106</v>
      </c>
    </row>
    <row r="2631" spans="3:3">
      <c r="C2631">
        <v>60129</v>
      </c>
    </row>
    <row r="2632" spans="3:3">
      <c r="C2632">
        <v>60152</v>
      </c>
    </row>
    <row r="2633" spans="3:3">
      <c r="C2633">
        <v>60175</v>
      </c>
    </row>
    <row r="2634" spans="3:3">
      <c r="C2634">
        <v>60198</v>
      </c>
    </row>
    <row r="2635" spans="3:3">
      <c r="C2635">
        <v>60221</v>
      </c>
    </row>
    <row r="2636" spans="3:3">
      <c r="C2636">
        <v>60244</v>
      </c>
    </row>
    <row r="2637" spans="3:3">
      <c r="C2637">
        <v>60267</v>
      </c>
    </row>
    <row r="2638" spans="3:3">
      <c r="C2638">
        <v>60290</v>
      </c>
    </row>
    <row r="2639" spans="3:3">
      <c r="C2639">
        <v>60313</v>
      </c>
    </row>
    <row r="2640" spans="3:3">
      <c r="C2640">
        <v>60337</v>
      </c>
    </row>
    <row r="2641" spans="3:3">
      <c r="C2641">
        <v>60360</v>
      </c>
    </row>
    <row r="2642" spans="3:3">
      <c r="C2642">
        <v>60383</v>
      </c>
    </row>
    <row r="2643" spans="3:3">
      <c r="C2643">
        <v>60406</v>
      </c>
    </row>
    <row r="2644" spans="3:3">
      <c r="C2644">
        <v>60429</v>
      </c>
    </row>
    <row r="2645" spans="3:3">
      <c r="C2645">
        <v>60452</v>
      </c>
    </row>
    <row r="2646" spans="3:3">
      <c r="C2646">
        <v>60475</v>
      </c>
    </row>
    <row r="2647" spans="3:3">
      <c r="C2647">
        <v>60498</v>
      </c>
    </row>
    <row r="2648" spans="3:3">
      <c r="C2648">
        <v>60521</v>
      </c>
    </row>
    <row r="2649" spans="3:3">
      <c r="C2649">
        <v>60544</v>
      </c>
    </row>
    <row r="2650" spans="3:3">
      <c r="C2650">
        <v>60567</v>
      </c>
    </row>
    <row r="2651" spans="3:3">
      <c r="C2651">
        <v>60590</v>
      </c>
    </row>
    <row r="2652" spans="3:3">
      <c r="C2652">
        <v>60613</v>
      </c>
    </row>
    <row r="2653" spans="3:3">
      <c r="C2653">
        <v>60637</v>
      </c>
    </row>
    <row r="2654" spans="3:3">
      <c r="C2654">
        <v>60660</v>
      </c>
    </row>
    <row r="2655" spans="3:3">
      <c r="C2655">
        <v>60683</v>
      </c>
    </row>
    <row r="2656" spans="3:3">
      <c r="C2656">
        <v>60706</v>
      </c>
    </row>
    <row r="2657" spans="3:3">
      <c r="C2657">
        <v>60729</v>
      </c>
    </row>
    <row r="2658" spans="3:3">
      <c r="C2658">
        <v>60752</v>
      </c>
    </row>
    <row r="2659" spans="3:3">
      <c r="C2659">
        <v>60775</v>
      </c>
    </row>
    <row r="2660" spans="3:3">
      <c r="C2660">
        <v>60798</v>
      </c>
    </row>
    <row r="2661" spans="3:3">
      <c r="C2661">
        <v>60821</v>
      </c>
    </row>
    <row r="2662" spans="3:3">
      <c r="C2662">
        <v>60844</v>
      </c>
    </row>
    <row r="2663" spans="3:3">
      <c r="C2663">
        <v>60867</v>
      </c>
    </row>
    <row r="2664" spans="3:3">
      <c r="C2664">
        <v>60890</v>
      </c>
    </row>
    <row r="2665" spans="3:3">
      <c r="C2665">
        <v>60913</v>
      </c>
    </row>
    <row r="2666" spans="3:3">
      <c r="C2666">
        <v>60937</v>
      </c>
    </row>
    <row r="2667" spans="3:3">
      <c r="C2667">
        <v>60960</v>
      </c>
    </row>
    <row r="2668" spans="3:3">
      <c r="C2668">
        <v>60983</v>
      </c>
    </row>
    <row r="2669" spans="3:3">
      <c r="C2669">
        <v>61006</v>
      </c>
    </row>
    <row r="2670" spans="3:3">
      <c r="C2670">
        <v>61029</v>
      </c>
    </row>
    <row r="2671" spans="3:3">
      <c r="C2671">
        <v>61052</v>
      </c>
    </row>
    <row r="2672" spans="3:3">
      <c r="C2672">
        <v>61075</v>
      </c>
    </row>
    <row r="2673" spans="3:3">
      <c r="C2673">
        <v>61098</v>
      </c>
    </row>
    <row r="2674" spans="3:3">
      <c r="C2674">
        <v>61121</v>
      </c>
    </row>
    <row r="2675" spans="3:3">
      <c r="C2675">
        <v>61144</v>
      </c>
    </row>
    <row r="2676" spans="3:3">
      <c r="C2676">
        <v>61167</v>
      </c>
    </row>
    <row r="2677" spans="3:3">
      <c r="C2677">
        <v>61190</v>
      </c>
    </row>
    <row r="2678" spans="3:3">
      <c r="C2678">
        <v>61213</v>
      </c>
    </row>
    <row r="2679" spans="3:3">
      <c r="C2679">
        <v>61237</v>
      </c>
    </row>
    <row r="2680" spans="3:3">
      <c r="C2680">
        <v>61260</v>
      </c>
    </row>
    <row r="2681" spans="3:3">
      <c r="C2681">
        <v>61283</v>
      </c>
    </row>
    <row r="2682" spans="3:3">
      <c r="C2682">
        <v>61306</v>
      </c>
    </row>
    <row r="2683" spans="3:3">
      <c r="C2683">
        <v>61329</v>
      </c>
    </row>
    <row r="2684" spans="3:3">
      <c r="C2684">
        <v>61352</v>
      </c>
    </row>
    <row r="2685" spans="3:3">
      <c r="C2685">
        <v>61375</v>
      </c>
    </row>
    <row r="2686" spans="3:3">
      <c r="C2686">
        <v>61398</v>
      </c>
    </row>
    <row r="2687" spans="3:3">
      <c r="C2687">
        <v>61421</v>
      </c>
    </row>
    <row r="2688" spans="3:3">
      <c r="C2688">
        <v>61444</v>
      </c>
    </row>
    <row r="2689" spans="3:3">
      <c r="C2689">
        <v>61467</v>
      </c>
    </row>
    <row r="2690" spans="3:3">
      <c r="C2690">
        <v>61490</v>
      </c>
    </row>
    <row r="2691" spans="3:3">
      <c r="C2691">
        <v>61513</v>
      </c>
    </row>
    <row r="2692" spans="3:3">
      <c r="C2692">
        <v>61537</v>
      </c>
    </row>
    <row r="2693" spans="3:3">
      <c r="C2693">
        <v>61560</v>
      </c>
    </row>
    <row r="2694" spans="3:3">
      <c r="C2694">
        <v>61583</v>
      </c>
    </row>
    <row r="2695" spans="3:3">
      <c r="C2695">
        <v>61606</v>
      </c>
    </row>
    <row r="2696" spans="3:3">
      <c r="C2696">
        <v>61629</v>
      </c>
    </row>
    <row r="2697" spans="3:3">
      <c r="C2697">
        <v>61652</v>
      </c>
    </row>
    <row r="2698" spans="3:3">
      <c r="C2698">
        <v>61675</v>
      </c>
    </row>
    <row r="2699" spans="3:3">
      <c r="C2699">
        <v>61698</v>
      </c>
    </row>
    <row r="2700" spans="3:3">
      <c r="C2700">
        <v>61721</v>
      </c>
    </row>
    <row r="2701" spans="3:3">
      <c r="C2701">
        <v>61744</v>
      </c>
    </row>
    <row r="2702" spans="3:3">
      <c r="C2702">
        <v>61767</v>
      </c>
    </row>
    <row r="2703" spans="3:3">
      <c r="C2703">
        <v>61790</v>
      </c>
    </row>
    <row r="2704" spans="3:3">
      <c r="C2704">
        <v>61813</v>
      </c>
    </row>
    <row r="2705" spans="3:3">
      <c r="C2705">
        <v>61837</v>
      </c>
    </row>
    <row r="2706" spans="3:3">
      <c r="C2706">
        <v>61860</v>
      </c>
    </row>
    <row r="2707" spans="3:3">
      <c r="C2707">
        <v>61883</v>
      </c>
    </row>
    <row r="2708" spans="3:3">
      <c r="C2708">
        <v>61906</v>
      </c>
    </row>
    <row r="2709" spans="3:3">
      <c r="C2709">
        <v>61929</v>
      </c>
    </row>
    <row r="2710" spans="3:3">
      <c r="C2710">
        <v>61952</v>
      </c>
    </row>
    <row r="2711" spans="3:3">
      <c r="C2711">
        <v>61975</v>
      </c>
    </row>
    <row r="2712" spans="3:3">
      <c r="C2712">
        <v>61998</v>
      </c>
    </row>
    <row r="2713" spans="3:3">
      <c r="C2713">
        <v>62021</v>
      </c>
    </row>
    <row r="2714" spans="3:3">
      <c r="C2714">
        <v>62044</v>
      </c>
    </row>
    <row r="2715" spans="3:3">
      <c r="C2715">
        <v>62067</v>
      </c>
    </row>
    <row r="2716" spans="3:3">
      <c r="C2716">
        <v>62090</v>
      </c>
    </row>
    <row r="2717" spans="3:3">
      <c r="C2717">
        <v>62113</v>
      </c>
    </row>
    <row r="2718" spans="3:3">
      <c r="C2718">
        <v>62137</v>
      </c>
    </row>
    <row r="2719" spans="3:3">
      <c r="C2719">
        <v>62160</v>
      </c>
    </row>
    <row r="2720" spans="3:3">
      <c r="C2720">
        <v>62183</v>
      </c>
    </row>
    <row r="2721" spans="3:3">
      <c r="C2721">
        <v>62206</v>
      </c>
    </row>
    <row r="2722" spans="3:3">
      <c r="C2722">
        <v>62229</v>
      </c>
    </row>
    <row r="2723" spans="3:3">
      <c r="C2723">
        <v>62252</v>
      </c>
    </row>
    <row r="2724" spans="3:3">
      <c r="C2724">
        <v>62275</v>
      </c>
    </row>
    <row r="2725" spans="3:3">
      <c r="C2725">
        <v>62298</v>
      </c>
    </row>
    <row r="2726" spans="3:3">
      <c r="C2726">
        <v>62321</v>
      </c>
    </row>
    <row r="2727" spans="3:3">
      <c r="C2727">
        <v>62344</v>
      </c>
    </row>
    <row r="2728" spans="3:3">
      <c r="C2728">
        <v>62367</v>
      </c>
    </row>
    <row r="2729" spans="3:3">
      <c r="C2729">
        <v>62390</v>
      </c>
    </row>
    <row r="2730" spans="3:3">
      <c r="C2730">
        <v>62413</v>
      </c>
    </row>
    <row r="2731" spans="3:3">
      <c r="C2731">
        <v>62437</v>
      </c>
    </row>
    <row r="2732" spans="3:3">
      <c r="C2732">
        <v>62460</v>
      </c>
    </row>
    <row r="2733" spans="3:3">
      <c r="C2733">
        <v>62483</v>
      </c>
    </row>
    <row r="2734" spans="3:3">
      <c r="C2734">
        <v>62506</v>
      </c>
    </row>
    <row r="2735" spans="3:3">
      <c r="C2735">
        <v>62529</v>
      </c>
    </row>
    <row r="2736" spans="3:3">
      <c r="C2736">
        <v>62552</v>
      </c>
    </row>
    <row r="2737" spans="3:3">
      <c r="C2737">
        <v>62575</v>
      </c>
    </row>
    <row r="2738" spans="3:3">
      <c r="C2738">
        <v>62598</v>
      </c>
    </row>
    <row r="2739" spans="3:3">
      <c r="C2739">
        <v>62621</v>
      </c>
    </row>
    <row r="2740" spans="3:3">
      <c r="C2740">
        <v>62644</v>
      </c>
    </row>
    <row r="2741" spans="3:3">
      <c r="C2741">
        <v>62667</v>
      </c>
    </row>
    <row r="2742" spans="3:3">
      <c r="C2742">
        <v>62690</v>
      </c>
    </row>
    <row r="2743" spans="3:3">
      <c r="C2743">
        <v>62713</v>
      </c>
    </row>
    <row r="2744" spans="3:3">
      <c r="C2744">
        <v>62737</v>
      </c>
    </row>
    <row r="2745" spans="3:3">
      <c r="C2745">
        <v>62760</v>
      </c>
    </row>
    <row r="2746" spans="3:3">
      <c r="C2746">
        <v>62783</v>
      </c>
    </row>
    <row r="2747" spans="3:3">
      <c r="C2747">
        <v>62806</v>
      </c>
    </row>
    <row r="2748" spans="3:3">
      <c r="C2748">
        <v>62829</v>
      </c>
    </row>
    <row r="2749" spans="3:3">
      <c r="C2749">
        <v>62852</v>
      </c>
    </row>
    <row r="2750" spans="3:3">
      <c r="C2750">
        <v>62875</v>
      </c>
    </row>
    <row r="2751" spans="3:3">
      <c r="C2751">
        <v>62898</v>
      </c>
    </row>
    <row r="2752" spans="3:3">
      <c r="C2752">
        <v>62921</v>
      </c>
    </row>
    <row r="2753" spans="3:3">
      <c r="C2753">
        <v>62944</v>
      </c>
    </row>
    <row r="2754" spans="3:3">
      <c r="C2754">
        <v>62967</v>
      </c>
    </row>
    <row r="2755" spans="3:3">
      <c r="C2755">
        <v>62990</v>
      </c>
    </row>
    <row r="2756" spans="3:3">
      <c r="C2756">
        <v>63013</v>
      </c>
    </row>
    <row r="2757" spans="3:3">
      <c r="C2757">
        <v>63037</v>
      </c>
    </row>
    <row r="2758" spans="3:3">
      <c r="C2758">
        <v>63060</v>
      </c>
    </row>
    <row r="2759" spans="3:3">
      <c r="C2759">
        <v>63083</v>
      </c>
    </row>
    <row r="2760" spans="3:3">
      <c r="C2760">
        <v>63106</v>
      </c>
    </row>
    <row r="2761" spans="3:3">
      <c r="C2761">
        <v>63129</v>
      </c>
    </row>
    <row r="2762" spans="3:3">
      <c r="C2762">
        <v>63152</v>
      </c>
    </row>
    <row r="2763" spans="3:3">
      <c r="C2763">
        <v>63175</v>
      </c>
    </row>
    <row r="2764" spans="3:3">
      <c r="C2764">
        <v>63198</v>
      </c>
    </row>
    <row r="2765" spans="3:3">
      <c r="C2765">
        <v>63221</v>
      </c>
    </row>
    <row r="2766" spans="3:3">
      <c r="C2766">
        <v>63244</v>
      </c>
    </row>
    <row r="2767" spans="3:3">
      <c r="C2767">
        <v>63267</v>
      </c>
    </row>
    <row r="2768" spans="3:3">
      <c r="C2768">
        <v>63290</v>
      </c>
    </row>
    <row r="2769" spans="3:3">
      <c r="C2769">
        <v>63313</v>
      </c>
    </row>
    <row r="2770" spans="3:3">
      <c r="C2770">
        <v>63337</v>
      </c>
    </row>
    <row r="2771" spans="3:3">
      <c r="C2771">
        <v>63360</v>
      </c>
    </row>
    <row r="2772" spans="3:3">
      <c r="C2772">
        <v>63383</v>
      </c>
    </row>
    <row r="2773" spans="3:3">
      <c r="C2773">
        <v>63406</v>
      </c>
    </row>
    <row r="2774" spans="3:3">
      <c r="C2774">
        <v>63429</v>
      </c>
    </row>
    <row r="2775" spans="3:3">
      <c r="C2775">
        <v>63452</v>
      </c>
    </row>
    <row r="2776" spans="3:3">
      <c r="C2776">
        <v>63475</v>
      </c>
    </row>
    <row r="2777" spans="3:3">
      <c r="C2777">
        <v>63498</v>
      </c>
    </row>
    <row r="2778" spans="3:3">
      <c r="C2778">
        <v>63521</v>
      </c>
    </row>
    <row r="2779" spans="3:3">
      <c r="C2779">
        <v>63544</v>
      </c>
    </row>
    <row r="2780" spans="3:3">
      <c r="C2780">
        <v>63567</v>
      </c>
    </row>
    <row r="2781" spans="3:3">
      <c r="C2781">
        <v>63590</v>
      </c>
    </row>
    <row r="2782" spans="3:3">
      <c r="C2782">
        <v>63613</v>
      </c>
    </row>
    <row r="2783" spans="3:3">
      <c r="C2783">
        <v>63637</v>
      </c>
    </row>
    <row r="2784" spans="3:3">
      <c r="C2784">
        <v>63660</v>
      </c>
    </row>
    <row r="2785" spans="3:3">
      <c r="C2785">
        <v>63683</v>
      </c>
    </row>
    <row r="2786" spans="3:3">
      <c r="C2786">
        <v>63706</v>
      </c>
    </row>
    <row r="2787" spans="3:3">
      <c r="C2787">
        <v>63729</v>
      </c>
    </row>
    <row r="2788" spans="3:3">
      <c r="C2788">
        <v>63752</v>
      </c>
    </row>
    <row r="2789" spans="3:3">
      <c r="C2789">
        <v>63775</v>
      </c>
    </row>
    <row r="2790" spans="3:3">
      <c r="C2790">
        <v>63798</v>
      </c>
    </row>
    <row r="2791" spans="3:3">
      <c r="C2791">
        <v>63821</v>
      </c>
    </row>
    <row r="2792" spans="3:3">
      <c r="C2792">
        <v>63844</v>
      </c>
    </row>
    <row r="2793" spans="3:3">
      <c r="C2793">
        <v>63867</v>
      </c>
    </row>
    <row r="2794" spans="3:3">
      <c r="C2794">
        <v>63890</v>
      </c>
    </row>
    <row r="2795" spans="3:3">
      <c r="C2795">
        <v>63913</v>
      </c>
    </row>
    <row r="2796" spans="3:3">
      <c r="C2796">
        <v>63937</v>
      </c>
    </row>
    <row r="2797" spans="3:3">
      <c r="C2797">
        <v>63960</v>
      </c>
    </row>
    <row r="2798" spans="3:3">
      <c r="C2798">
        <v>63983</v>
      </c>
    </row>
    <row r="2799" spans="3:3">
      <c r="C2799">
        <v>64006</v>
      </c>
    </row>
    <row r="2800" spans="3:3">
      <c r="C2800">
        <v>64029</v>
      </c>
    </row>
    <row r="2801" spans="3:3">
      <c r="C2801">
        <v>64052</v>
      </c>
    </row>
    <row r="2802" spans="3:3">
      <c r="C2802">
        <v>64075</v>
      </c>
    </row>
    <row r="2803" spans="3:3">
      <c r="C2803">
        <v>64098</v>
      </c>
    </row>
    <row r="2804" spans="3:3">
      <c r="C2804">
        <v>64121</v>
      </c>
    </row>
    <row r="2805" spans="3:3">
      <c r="C2805">
        <v>64144</v>
      </c>
    </row>
    <row r="2806" spans="3:3">
      <c r="C2806">
        <v>64167</v>
      </c>
    </row>
    <row r="2807" spans="3:3">
      <c r="C2807">
        <v>64190</v>
      </c>
    </row>
    <row r="2808" spans="3:3">
      <c r="C2808">
        <v>64213</v>
      </c>
    </row>
    <row r="2809" spans="3:3">
      <c r="C2809">
        <v>64237</v>
      </c>
    </row>
    <row r="2810" spans="3:3">
      <c r="C2810">
        <v>64260</v>
      </c>
    </row>
    <row r="2811" spans="3:3">
      <c r="C2811">
        <v>64283</v>
      </c>
    </row>
    <row r="2812" spans="3:3">
      <c r="C2812">
        <v>64306</v>
      </c>
    </row>
    <row r="2813" spans="3:3">
      <c r="C2813">
        <v>64329</v>
      </c>
    </row>
    <row r="2814" spans="3:3">
      <c r="C2814">
        <v>64352</v>
      </c>
    </row>
    <row r="2815" spans="3:3">
      <c r="C2815">
        <v>64375</v>
      </c>
    </row>
    <row r="2816" spans="3:3">
      <c r="C2816">
        <v>64398</v>
      </c>
    </row>
    <row r="2817" spans="3:3">
      <c r="C2817">
        <v>64421</v>
      </c>
    </row>
    <row r="2818" spans="3:3">
      <c r="C2818">
        <v>64444</v>
      </c>
    </row>
    <row r="2819" spans="3:3">
      <c r="C2819">
        <v>64467</v>
      </c>
    </row>
    <row r="2820" spans="3:3">
      <c r="C2820">
        <v>64490</v>
      </c>
    </row>
    <row r="2821" spans="3:3">
      <c r="C2821">
        <v>64513</v>
      </c>
    </row>
    <row r="2822" spans="3:3">
      <c r="C2822">
        <v>64537</v>
      </c>
    </row>
    <row r="2823" spans="3:3">
      <c r="C2823">
        <v>64560</v>
      </c>
    </row>
    <row r="2824" spans="3:3">
      <c r="C2824">
        <v>64583</v>
      </c>
    </row>
    <row r="2825" spans="3:3">
      <c r="C2825">
        <v>64606</v>
      </c>
    </row>
    <row r="2826" spans="3:3">
      <c r="C2826">
        <v>64629</v>
      </c>
    </row>
    <row r="2827" spans="3:3">
      <c r="C2827">
        <v>64652</v>
      </c>
    </row>
    <row r="2828" spans="3:3">
      <c r="C2828">
        <v>64675</v>
      </c>
    </row>
    <row r="2829" spans="3:3">
      <c r="C2829">
        <v>64698</v>
      </c>
    </row>
    <row r="2830" spans="3:3">
      <c r="C2830">
        <v>64721</v>
      </c>
    </row>
    <row r="2831" spans="3:3">
      <c r="C2831">
        <v>64744</v>
      </c>
    </row>
    <row r="2832" spans="3:3">
      <c r="C2832">
        <v>64767</v>
      </c>
    </row>
    <row r="2833" spans="3:3">
      <c r="C2833">
        <v>64790</v>
      </c>
    </row>
    <row r="2834" spans="3:3">
      <c r="C2834">
        <v>64813</v>
      </c>
    </row>
    <row r="2835" spans="3:3">
      <c r="C2835">
        <v>64837</v>
      </c>
    </row>
    <row r="2836" spans="3:3">
      <c r="C2836">
        <v>64860</v>
      </c>
    </row>
    <row r="2837" spans="3:3">
      <c r="C2837">
        <v>64883</v>
      </c>
    </row>
    <row r="2838" spans="3:3">
      <c r="C2838">
        <v>64906</v>
      </c>
    </row>
    <row r="2839" spans="3:3">
      <c r="C2839">
        <v>64929</v>
      </c>
    </row>
    <row r="2840" spans="3:3">
      <c r="C2840">
        <v>64952</v>
      </c>
    </row>
    <row r="2841" spans="3:3">
      <c r="C2841">
        <v>64975</v>
      </c>
    </row>
    <row r="2842" spans="3:3">
      <c r="C2842">
        <v>64998</v>
      </c>
    </row>
    <row r="2843" spans="3:3">
      <c r="C2843">
        <v>65021</v>
      </c>
    </row>
    <row r="2844" spans="3:3">
      <c r="C2844">
        <v>65044</v>
      </c>
    </row>
    <row r="2845" spans="3:3">
      <c r="C2845">
        <v>65067</v>
      </c>
    </row>
    <row r="2846" spans="3:3">
      <c r="C2846">
        <v>65090</v>
      </c>
    </row>
    <row r="2847" spans="3:3">
      <c r="C2847">
        <v>65113</v>
      </c>
    </row>
    <row r="2848" spans="3:3">
      <c r="C2848">
        <v>65137</v>
      </c>
    </row>
    <row r="2849" spans="3:3">
      <c r="C2849">
        <v>65160</v>
      </c>
    </row>
    <row r="2850" spans="3:3">
      <c r="C2850">
        <v>65183</v>
      </c>
    </row>
    <row r="2851" spans="3:3">
      <c r="C2851">
        <v>65206</v>
      </c>
    </row>
    <row r="2852" spans="3:3">
      <c r="C2852">
        <v>65229</v>
      </c>
    </row>
    <row r="2853" spans="3:3">
      <c r="C2853">
        <v>65252</v>
      </c>
    </row>
    <row r="2854" spans="3:3">
      <c r="C2854">
        <v>65275</v>
      </c>
    </row>
    <row r="2855" spans="3:3">
      <c r="C2855">
        <v>65298</v>
      </c>
    </row>
    <row r="2856" spans="3:3">
      <c r="C2856">
        <v>65321</v>
      </c>
    </row>
    <row r="2857" spans="3:3">
      <c r="C2857">
        <v>65344</v>
      </c>
    </row>
    <row r="2858" spans="3:3">
      <c r="C2858">
        <v>65367</v>
      </c>
    </row>
    <row r="2859" spans="3:3">
      <c r="C2859">
        <v>65390</v>
      </c>
    </row>
    <row r="2860" spans="3:3">
      <c r="C2860">
        <v>65413</v>
      </c>
    </row>
    <row r="2861" spans="3:3">
      <c r="C2861">
        <v>65437</v>
      </c>
    </row>
    <row r="2862" spans="3:3">
      <c r="C2862">
        <v>65460</v>
      </c>
    </row>
    <row r="2863" spans="3:3">
      <c r="C2863">
        <v>65483</v>
      </c>
    </row>
    <row r="2864" spans="3:3">
      <c r="C2864">
        <v>65506</v>
      </c>
    </row>
    <row r="2865" spans="3:3">
      <c r="C2865">
        <v>65529</v>
      </c>
    </row>
    <row r="2866" spans="3:3">
      <c r="C2866">
        <v>65552</v>
      </c>
    </row>
    <row r="2867" spans="3:3">
      <c r="C2867">
        <v>65575</v>
      </c>
    </row>
    <row r="2868" spans="3:3">
      <c r="C2868">
        <v>65598</v>
      </c>
    </row>
    <row r="2869" spans="3:3">
      <c r="C2869">
        <v>65621</v>
      </c>
    </row>
    <row r="2870" spans="3:3">
      <c r="C2870">
        <v>65644</v>
      </c>
    </row>
    <row r="2871" spans="3:3">
      <c r="C2871">
        <v>65667</v>
      </c>
    </row>
    <row r="2872" spans="3:3">
      <c r="C2872">
        <v>65690</v>
      </c>
    </row>
    <row r="2873" spans="3:3">
      <c r="C2873">
        <v>65713</v>
      </c>
    </row>
    <row r="2874" spans="3:3">
      <c r="C2874">
        <v>65737</v>
      </c>
    </row>
    <row r="2875" spans="3:3">
      <c r="C2875">
        <v>65760</v>
      </c>
    </row>
    <row r="2876" spans="3:3">
      <c r="C2876">
        <v>65783</v>
      </c>
    </row>
    <row r="2877" spans="3:3">
      <c r="C2877">
        <v>65806</v>
      </c>
    </row>
    <row r="2878" spans="3:3">
      <c r="C2878">
        <v>65829</v>
      </c>
    </row>
    <row r="2879" spans="3:3">
      <c r="C2879">
        <v>65852</v>
      </c>
    </row>
    <row r="2880" spans="3:3">
      <c r="C2880">
        <v>65875</v>
      </c>
    </row>
    <row r="2881" spans="3:3">
      <c r="C2881">
        <v>65898</v>
      </c>
    </row>
    <row r="2882" spans="3:3">
      <c r="C2882">
        <v>65921</v>
      </c>
    </row>
    <row r="2883" spans="3:3">
      <c r="C2883">
        <v>65944</v>
      </c>
    </row>
    <row r="2884" spans="3:3">
      <c r="C2884">
        <v>65967</v>
      </c>
    </row>
    <row r="2885" spans="3:3">
      <c r="C2885">
        <v>65990</v>
      </c>
    </row>
    <row r="2886" spans="3:3">
      <c r="C2886">
        <v>66013</v>
      </c>
    </row>
    <row r="2887" spans="3:3">
      <c r="C2887">
        <v>66037</v>
      </c>
    </row>
    <row r="2888" spans="3:3">
      <c r="C2888">
        <v>66060</v>
      </c>
    </row>
    <row r="2889" spans="3:3">
      <c r="C2889">
        <v>66083</v>
      </c>
    </row>
    <row r="2890" spans="3:3">
      <c r="C2890">
        <v>66106</v>
      </c>
    </row>
    <row r="2891" spans="3:3">
      <c r="C2891">
        <v>66129</v>
      </c>
    </row>
    <row r="2892" spans="3:3">
      <c r="C2892">
        <v>66152</v>
      </c>
    </row>
    <row r="2893" spans="3:3">
      <c r="C2893">
        <v>66175</v>
      </c>
    </row>
    <row r="2894" spans="3:3">
      <c r="C2894">
        <v>66198</v>
      </c>
    </row>
    <row r="2895" spans="3:3">
      <c r="C2895">
        <v>66221</v>
      </c>
    </row>
    <row r="2896" spans="3:3">
      <c r="C2896">
        <v>66244</v>
      </c>
    </row>
    <row r="2897" spans="3:3">
      <c r="C2897">
        <v>66267</v>
      </c>
    </row>
    <row r="2898" spans="3:3">
      <c r="C2898">
        <v>66290</v>
      </c>
    </row>
    <row r="2899" spans="3:3">
      <c r="C2899">
        <v>66313</v>
      </c>
    </row>
    <row r="2900" spans="3:3">
      <c r="C2900">
        <v>66337</v>
      </c>
    </row>
    <row r="2901" spans="3:3">
      <c r="C2901">
        <v>66360</v>
      </c>
    </row>
    <row r="2902" spans="3:3">
      <c r="C2902">
        <v>66383</v>
      </c>
    </row>
    <row r="2903" spans="3:3">
      <c r="C2903">
        <v>66406</v>
      </c>
    </row>
    <row r="2904" spans="3:3">
      <c r="C2904">
        <v>66429</v>
      </c>
    </row>
    <row r="2905" spans="3:3">
      <c r="C2905">
        <v>66452</v>
      </c>
    </row>
    <row r="2906" spans="3:3">
      <c r="C2906">
        <v>66475</v>
      </c>
    </row>
    <row r="2907" spans="3:3">
      <c r="C2907">
        <v>66498</v>
      </c>
    </row>
    <row r="2908" spans="3:3">
      <c r="C2908">
        <v>66521</v>
      </c>
    </row>
    <row r="2909" spans="3:3">
      <c r="C2909">
        <v>66544</v>
      </c>
    </row>
    <row r="2910" spans="3:3">
      <c r="C2910">
        <v>66567</v>
      </c>
    </row>
    <row r="2911" spans="3:3">
      <c r="C2911">
        <v>66590</v>
      </c>
    </row>
    <row r="2912" spans="3:3">
      <c r="C2912">
        <v>66613</v>
      </c>
    </row>
    <row r="2913" spans="3:3">
      <c r="C2913">
        <v>66637</v>
      </c>
    </row>
    <row r="2914" spans="3:3">
      <c r="C2914">
        <v>66660</v>
      </c>
    </row>
    <row r="2915" spans="3:3">
      <c r="C2915">
        <v>66683</v>
      </c>
    </row>
    <row r="2916" spans="3:3">
      <c r="C2916">
        <v>66706</v>
      </c>
    </row>
    <row r="2917" spans="3:3">
      <c r="C2917">
        <v>66729</v>
      </c>
    </row>
    <row r="2918" spans="3:3">
      <c r="C2918">
        <v>66752</v>
      </c>
    </row>
    <row r="2919" spans="3:3">
      <c r="C2919">
        <v>66775</v>
      </c>
    </row>
    <row r="2920" spans="3:3">
      <c r="C2920">
        <v>66798</v>
      </c>
    </row>
    <row r="2921" spans="3:3">
      <c r="C2921">
        <v>66821</v>
      </c>
    </row>
    <row r="2922" spans="3:3">
      <c r="C2922">
        <v>66844</v>
      </c>
    </row>
    <row r="2923" spans="3:3">
      <c r="C2923">
        <v>66867</v>
      </c>
    </row>
    <row r="2924" spans="3:3">
      <c r="C2924">
        <v>66890</v>
      </c>
    </row>
    <row r="2925" spans="3:3">
      <c r="C2925">
        <v>66913</v>
      </c>
    </row>
    <row r="2926" spans="3:3">
      <c r="C2926">
        <v>66937</v>
      </c>
    </row>
    <row r="2927" spans="3:3">
      <c r="C2927">
        <v>66960</v>
      </c>
    </row>
    <row r="2928" spans="3:3">
      <c r="C2928">
        <v>66983</v>
      </c>
    </row>
    <row r="2929" spans="3:3">
      <c r="C2929">
        <v>67006</v>
      </c>
    </row>
    <row r="2930" spans="3:3">
      <c r="C2930">
        <v>67029</v>
      </c>
    </row>
    <row r="2931" spans="3:3">
      <c r="C2931">
        <v>67052</v>
      </c>
    </row>
    <row r="2932" spans="3:3">
      <c r="C2932">
        <v>67075</v>
      </c>
    </row>
    <row r="2933" spans="3:3">
      <c r="C2933">
        <v>67098</v>
      </c>
    </row>
    <row r="2934" spans="3:3">
      <c r="C2934">
        <v>67121</v>
      </c>
    </row>
    <row r="2935" spans="3:3">
      <c r="C2935">
        <v>67144</v>
      </c>
    </row>
    <row r="2936" spans="3:3">
      <c r="C2936">
        <v>67167</v>
      </c>
    </row>
    <row r="2937" spans="3:3">
      <c r="C2937">
        <v>67190</v>
      </c>
    </row>
    <row r="2938" spans="3:3">
      <c r="C2938">
        <v>67213</v>
      </c>
    </row>
    <row r="2939" spans="3:3">
      <c r="C2939">
        <v>67237</v>
      </c>
    </row>
    <row r="2940" spans="3:3">
      <c r="C2940">
        <v>67260</v>
      </c>
    </row>
    <row r="2941" spans="3:3">
      <c r="C2941">
        <v>67283</v>
      </c>
    </row>
    <row r="2942" spans="3:3">
      <c r="C2942">
        <v>67306</v>
      </c>
    </row>
    <row r="2943" spans="3:3">
      <c r="C2943">
        <v>67329</v>
      </c>
    </row>
    <row r="2944" spans="3:3">
      <c r="C2944">
        <v>67352</v>
      </c>
    </row>
    <row r="2945" spans="3:3">
      <c r="C2945">
        <v>67375</v>
      </c>
    </row>
    <row r="2946" spans="3:3">
      <c r="C2946">
        <v>67398</v>
      </c>
    </row>
    <row r="2947" spans="3:3">
      <c r="C2947">
        <v>67421</v>
      </c>
    </row>
    <row r="2948" spans="3:3">
      <c r="C2948">
        <v>67444</v>
      </c>
    </row>
    <row r="2949" spans="3:3">
      <c r="C2949">
        <v>67467</v>
      </c>
    </row>
    <row r="2950" spans="3:3">
      <c r="C2950">
        <v>67490</v>
      </c>
    </row>
    <row r="2951" spans="3:3">
      <c r="C2951">
        <v>67513</v>
      </c>
    </row>
    <row r="2952" spans="3:3">
      <c r="C2952">
        <v>67537</v>
      </c>
    </row>
    <row r="2953" spans="3:3">
      <c r="C2953">
        <v>67560</v>
      </c>
    </row>
    <row r="2954" spans="3:3">
      <c r="C2954">
        <v>67583</v>
      </c>
    </row>
    <row r="2955" spans="3:3">
      <c r="C2955">
        <v>67606</v>
      </c>
    </row>
    <row r="2956" spans="3:3">
      <c r="C2956">
        <v>67629</v>
      </c>
    </row>
    <row r="2957" spans="3:3">
      <c r="C2957">
        <v>67652</v>
      </c>
    </row>
    <row r="2958" spans="3:3">
      <c r="C2958">
        <v>67675</v>
      </c>
    </row>
    <row r="2959" spans="3:3">
      <c r="C2959">
        <v>67698</v>
      </c>
    </row>
    <row r="2960" spans="3:3">
      <c r="C2960">
        <v>67721</v>
      </c>
    </row>
    <row r="2961" spans="3:3">
      <c r="C2961">
        <v>67744</v>
      </c>
    </row>
    <row r="2962" spans="3:3">
      <c r="C2962">
        <v>67767</v>
      </c>
    </row>
    <row r="2963" spans="3:3">
      <c r="C2963">
        <v>67790</v>
      </c>
    </row>
    <row r="2964" spans="3:3">
      <c r="C2964">
        <v>67813</v>
      </c>
    </row>
    <row r="2965" spans="3:3">
      <c r="C2965">
        <v>67837</v>
      </c>
    </row>
    <row r="2966" spans="3:3">
      <c r="C2966">
        <v>67860</v>
      </c>
    </row>
    <row r="2967" spans="3:3">
      <c r="C2967">
        <v>67883</v>
      </c>
    </row>
    <row r="2968" spans="3:3">
      <c r="C2968">
        <v>67906</v>
      </c>
    </row>
    <row r="2969" spans="3:3">
      <c r="C2969">
        <v>67929</v>
      </c>
    </row>
    <row r="2970" spans="3:3">
      <c r="C2970">
        <v>67952</v>
      </c>
    </row>
    <row r="2971" spans="3:3">
      <c r="C2971">
        <v>67975</v>
      </c>
    </row>
    <row r="2972" spans="3:3">
      <c r="C2972">
        <v>67998</v>
      </c>
    </row>
    <row r="2973" spans="3:3">
      <c r="C2973">
        <v>68021</v>
      </c>
    </row>
    <row r="2974" spans="3:3">
      <c r="C2974">
        <v>68044</v>
      </c>
    </row>
    <row r="2975" spans="3:3">
      <c r="C2975">
        <v>68067</v>
      </c>
    </row>
    <row r="2976" spans="3:3">
      <c r="C2976">
        <v>68090</v>
      </c>
    </row>
    <row r="2977" spans="3:3">
      <c r="C2977">
        <v>68113</v>
      </c>
    </row>
    <row r="2978" spans="3:3">
      <c r="C2978">
        <v>68137</v>
      </c>
    </row>
    <row r="2979" spans="3:3">
      <c r="C2979">
        <v>68160</v>
      </c>
    </row>
    <row r="2980" spans="3:3">
      <c r="C2980">
        <v>68183</v>
      </c>
    </row>
    <row r="2981" spans="3:3">
      <c r="C2981">
        <v>68206</v>
      </c>
    </row>
    <row r="2982" spans="3:3">
      <c r="C2982">
        <v>68229</v>
      </c>
    </row>
    <row r="2983" spans="3:3">
      <c r="C2983">
        <v>68252</v>
      </c>
    </row>
    <row r="2984" spans="3:3">
      <c r="C2984">
        <v>68275</v>
      </c>
    </row>
    <row r="2985" spans="3:3">
      <c r="C2985">
        <v>68298</v>
      </c>
    </row>
    <row r="2986" spans="3:3">
      <c r="C2986">
        <v>68321</v>
      </c>
    </row>
    <row r="2987" spans="3:3">
      <c r="C2987">
        <v>68344</v>
      </c>
    </row>
    <row r="2988" spans="3:3">
      <c r="C2988">
        <v>68367</v>
      </c>
    </row>
    <row r="2989" spans="3:3">
      <c r="C2989">
        <v>68390</v>
      </c>
    </row>
    <row r="2990" spans="3:3">
      <c r="C2990">
        <v>68413</v>
      </c>
    </row>
    <row r="2991" spans="3:3">
      <c r="C2991">
        <v>68437</v>
      </c>
    </row>
    <row r="2992" spans="3:3">
      <c r="C2992">
        <v>68460</v>
      </c>
    </row>
    <row r="2993" spans="3:3">
      <c r="C2993">
        <v>68483</v>
      </c>
    </row>
    <row r="2994" spans="3:3">
      <c r="C2994">
        <v>68506</v>
      </c>
    </row>
    <row r="2995" spans="3:3">
      <c r="C2995">
        <v>68529</v>
      </c>
    </row>
    <row r="2996" spans="3:3">
      <c r="C2996">
        <v>68552</v>
      </c>
    </row>
    <row r="2997" spans="3:3">
      <c r="C2997">
        <v>68575</v>
      </c>
    </row>
    <row r="2998" spans="3:3">
      <c r="C2998">
        <v>68598</v>
      </c>
    </row>
    <row r="2999" spans="3:3">
      <c r="C2999">
        <v>68621</v>
      </c>
    </row>
    <row r="3000" spans="3:3">
      <c r="C3000">
        <v>68644</v>
      </c>
    </row>
    <row r="3001" spans="3:3">
      <c r="C3001">
        <v>68667</v>
      </c>
    </row>
    <row r="3002" spans="3:3">
      <c r="C3002">
        <v>68690</v>
      </c>
    </row>
    <row r="3003" spans="3:3">
      <c r="C3003">
        <v>68713</v>
      </c>
    </row>
    <row r="3004" spans="3:3">
      <c r="C3004">
        <v>68737</v>
      </c>
    </row>
    <row r="3005" spans="3:3">
      <c r="C3005">
        <v>68760</v>
      </c>
    </row>
    <row r="3006" spans="3:3">
      <c r="C3006">
        <v>68783</v>
      </c>
    </row>
    <row r="3007" spans="3:3">
      <c r="C3007">
        <v>68806</v>
      </c>
    </row>
    <row r="3008" spans="3:3">
      <c r="C3008">
        <v>68829</v>
      </c>
    </row>
    <row r="3009" spans="3:3">
      <c r="C3009">
        <v>68852</v>
      </c>
    </row>
    <row r="3010" spans="3:3">
      <c r="C3010">
        <v>68875</v>
      </c>
    </row>
    <row r="3011" spans="3:3">
      <c r="C3011">
        <v>68898</v>
      </c>
    </row>
    <row r="3012" spans="3:3">
      <c r="C3012">
        <v>68921</v>
      </c>
    </row>
    <row r="3013" spans="3:3">
      <c r="C3013">
        <v>68944</v>
      </c>
    </row>
    <row r="3014" spans="3:3">
      <c r="C3014">
        <v>68967</v>
      </c>
    </row>
    <row r="3015" spans="3:3">
      <c r="C3015">
        <v>68990</v>
      </c>
    </row>
    <row r="3016" spans="3:3">
      <c r="C3016">
        <v>69013</v>
      </c>
    </row>
    <row r="3017" spans="3:3">
      <c r="C3017">
        <v>69037</v>
      </c>
    </row>
    <row r="3018" spans="3:3">
      <c r="C3018">
        <v>69060</v>
      </c>
    </row>
    <row r="3019" spans="3:3">
      <c r="C3019">
        <v>69083</v>
      </c>
    </row>
    <row r="3020" spans="3:3">
      <c r="C3020">
        <v>69106</v>
      </c>
    </row>
    <row r="3021" spans="3:3">
      <c r="C3021">
        <v>69129</v>
      </c>
    </row>
    <row r="3022" spans="3:3">
      <c r="C3022">
        <v>69152</v>
      </c>
    </row>
    <row r="3023" spans="3:3">
      <c r="C3023">
        <v>69175</v>
      </c>
    </row>
    <row r="3024" spans="3:3">
      <c r="C3024">
        <v>69198</v>
      </c>
    </row>
    <row r="3025" spans="3:3">
      <c r="C3025">
        <v>69221</v>
      </c>
    </row>
    <row r="3026" spans="3:3">
      <c r="C3026">
        <v>69244</v>
      </c>
    </row>
    <row r="3027" spans="3:3">
      <c r="C3027">
        <v>69267</v>
      </c>
    </row>
    <row r="3028" spans="3:3">
      <c r="C3028">
        <v>69290</v>
      </c>
    </row>
    <row r="3029" spans="3:3">
      <c r="C3029">
        <v>69313</v>
      </c>
    </row>
    <row r="3030" spans="3:3">
      <c r="C3030">
        <v>69337</v>
      </c>
    </row>
    <row r="3031" spans="3:3">
      <c r="C3031">
        <v>69360</v>
      </c>
    </row>
    <row r="3032" spans="3:3">
      <c r="C3032">
        <v>69383</v>
      </c>
    </row>
    <row r="3033" spans="3:3">
      <c r="C3033">
        <v>69406</v>
      </c>
    </row>
    <row r="3034" spans="3:3">
      <c r="C3034">
        <v>69429</v>
      </c>
    </row>
    <row r="3035" spans="3:3">
      <c r="C3035">
        <v>69452</v>
      </c>
    </row>
    <row r="3036" spans="3:3">
      <c r="C3036">
        <v>69475</v>
      </c>
    </row>
    <row r="3037" spans="3:3">
      <c r="C3037">
        <v>69498</v>
      </c>
    </row>
    <row r="3038" spans="3:3">
      <c r="C3038">
        <v>69521</v>
      </c>
    </row>
    <row r="3039" spans="3:3">
      <c r="C3039">
        <v>69544</v>
      </c>
    </row>
    <row r="3040" spans="3:3">
      <c r="C3040">
        <v>69567</v>
      </c>
    </row>
    <row r="3041" spans="3:3">
      <c r="C3041">
        <v>69590</v>
      </c>
    </row>
    <row r="3042" spans="3:3">
      <c r="C3042">
        <v>69613</v>
      </c>
    </row>
    <row r="3043" spans="3:3">
      <c r="C3043">
        <v>69637</v>
      </c>
    </row>
    <row r="3044" spans="3:3">
      <c r="C3044">
        <v>69660</v>
      </c>
    </row>
    <row r="3045" spans="3:3">
      <c r="C3045">
        <v>69683</v>
      </c>
    </row>
    <row r="3046" spans="3:3">
      <c r="C3046">
        <v>69706</v>
      </c>
    </row>
    <row r="3047" spans="3:3">
      <c r="C3047">
        <v>69729</v>
      </c>
    </row>
    <row r="3048" spans="3:3">
      <c r="C3048">
        <v>69752</v>
      </c>
    </row>
    <row r="3049" spans="3:3">
      <c r="C3049">
        <v>69775</v>
      </c>
    </row>
    <row r="3050" spans="3:3">
      <c r="C3050">
        <v>69798</v>
      </c>
    </row>
    <row r="3051" spans="3:3">
      <c r="C3051">
        <v>69821</v>
      </c>
    </row>
    <row r="3052" spans="3:3">
      <c r="C3052">
        <v>69844</v>
      </c>
    </row>
    <row r="3053" spans="3:3">
      <c r="C3053">
        <v>69867</v>
      </c>
    </row>
    <row r="3054" spans="3:3">
      <c r="C3054">
        <v>69890</v>
      </c>
    </row>
    <row r="3055" spans="3:3">
      <c r="C3055">
        <v>69913</v>
      </c>
    </row>
    <row r="3056" spans="3:3">
      <c r="C3056">
        <v>69937</v>
      </c>
    </row>
    <row r="3057" spans="3:3">
      <c r="C3057">
        <v>69960</v>
      </c>
    </row>
    <row r="3058" spans="3:3">
      <c r="C3058">
        <v>69983</v>
      </c>
    </row>
    <row r="3059" spans="3:3">
      <c r="C3059">
        <v>70006</v>
      </c>
    </row>
    <row r="3060" spans="3:3">
      <c r="C3060">
        <v>70029</v>
      </c>
    </row>
    <row r="3061" spans="3:3">
      <c r="C3061">
        <v>70052</v>
      </c>
    </row>
    <row r="3062" spans="3:3">
      <c r="C3062">
        <v>70075</v>
      </c>
    </row>
    <row r="3063" spans="3:3">
      <c r="C3063">
        <v>70098</v>
      </c>
    </row>
    <row r="3064" spans="3:3">
      <c r="C3064">
        <v>70121</v>
      </c>
    </row>
    <row r="3065" spans="3:3">
      <c r="C3065">
        <v>70144</v>
      </c>
    </row>
    <row r="3066" spans="3:3">
      <c r="C3066">
        <v>70167</v>
      </c>
    </row>
    <row r="3067" spans="3:3">
      <c r="C3067">
        <v>70190</v>
      </c>
    </row>
    <row r="3068" spans="3:3">
      <c r="C3068">
        <v>70213</v>
      </c>
    </row>
    <row r="3069" spans="3:3">
      <c r="C3069">
        <v>70237</v>
      </c>
    </row>
    <row r="3070" spans="3:3">
      <c r="C3070">
        <v>70260</v>
      </c>
    </row>
    <row r="3071" spans="3:3">
      <c r="C3071">
        <v>70283</v>
      </c>
    </row>
    <row r="3072" spans="3:3">
      <c r="C3072">
        <v>70306</v>
      </c>
    </row>
    <row r="3073" spans="3:3">
      <c r="C3073">
        <v>70329</v>
      </c>
    </row>
    <row r="3074" spans="3:3">
      <c r="C3074">
        <v>70352</v>
      </c>
    </row>
    <row r="3075" spans="3:3">
      <c r="C3075">
        <v>70375</v>
      </c>
    </row>
    <row r="3076" spans="3:3">
      <c r="C3076">
        <v>70398</v>
      </c>
    </row>
    <row r="3077" spans="3:3">
      <c r="C3077">
        <v>70421</v>
      </c>
    </row>
    <row r="3078" spans="3:3">
      <c r="C3078">
        <v>70444</v>
      </c>
    </row>
    <row r="3079" spans="3:3">
      <c r="C3079">
        <v>70467</v>
      </c>
    </row>
    <row r="3080" spans="3:3">
      <c r="C3080">
        <v>70490</v>
      </c>
    </row>
    <row r="3081" spans="3:3">
      <c r="C3081">
        <v>70513</v>
      </c>
    </row>
    <row r="3082" spans="3:3">
      <c r="C3082">
        <v>70537</v>
      </c>
    </row>
    <row r="3083" spans="3:3">
      <c r="C3083">
        <v>70560</v>
      </c>
    </row>
    <row r="3084" spans="3:3">
      <c r="C3084">
        <v>70583</v>
      </c>
    </row>
    <row r="3085" spans="3:3">
      <c r="C3085">
        <v>70606</v>
      </c>
    </row>
    <row r="3086" spans="3:3">
      <c r="C3086">
        <v>70629</v>
      </c>
    </row>
    <row r="3087" spans="3:3">
      <c r="C3087">
        <v>70652</v>
      </c>
    </row>
    <row r="3088" spans="3:3">
      <c r="C3088">
        <v>70675</v>
      </c>
    </row>
    <row r="3089" spans="3:3">
      <c r="C3089">
        <v>70698</v>
      </c>
    </row>
    <row r="3090" spans="3:3">
      <c r="C3090">
        <v>70721</v>
      </c>
    </row>
    <row r="3091" spans="3:3">
      <c r="C3091">
        <v>70744</v>
      </c>
    </row>
    <row r="3092" spans="3:3">
      <c r="C3092">
        <v>70767</v>
      </c>
    </row>
    <row r="3093" spans="3:3">
      <c r="C3093">
        <v>70790</v>
      </c>
    </row>
    <row r="3094" spans="3:3">
      <c r="C3094">
        <v>70813</v>
      </c>
    </row>
    <row r="3095" spans="3:3">
      <c r="C3095">
        <v>70837</v>
      </c>
    </row>
    <row r="3096" spans="3:3">
      <c r="C3096">
        <v>70860</v>
      </c>
    </row>
    <row r="3097" spans="3:3">
      <c r="C3097">
        <v>70883</v>
      </c>
    </row>
    <row r="3098" spans="3:3">
      <c r="C3098">
        <v>70906</v>
      </c>
    </row>
    <row r="3099" spans="3:3">
      <c r="C3099">
        <v>70929</v>
      </c>
    </row>
    <row r="3100" spans="3:3">
      <c r="C3100">
        <v>70952</v>
      </c>
    </row>
    <row r="3101" spans="3:3">
      <c r="C3101">
        <v>70975</v>
      </c>
    </row>
    <row r="3102" spans="3:3">
      <c r="C3102">
        <v>70998</v>
      </c>
    </row>
    <row r="3103" spans="3:3">
      <c r="C3103">
        <v>71021</v>
      </c>
    </row>
    <row r="3104" spans="3:3">
      <c r="C3104">
        <v>71044</v>
      </c>
    </row>
    <row r="3105" spans="3:3">
      <c r="C3105">
        <v>71067</v>
      </c>
    </row>
    <row r="3106" spans="3:3">
      <c r="C3106">
        <v>71090</v>
      </c>
    </row>
    <row r="3107" spans="3:3">
      <c r="C3107">
        <v>71113</v>
      </c>
    </row>
    <row r="3108" spans="3:3">
      <c r="C3108">
        <v>71137</v>
      </c>
    </row>
    <row r="3109" spans="3:3">
      <c r="C3109">
        <v>71160</v>
      </c>
    </row>
    <row r="3110" spans="3:3">
      <c r="C3110">
        <v>71183</v>
      </c>
    </row>
    <row r="3111" spans="3:3">
      <c r="C3111">
        <v>71206</v>
      </c>
    </row>
    <row r="3112" spans="3:3">
      <c r="C3112">
        <v>71229</v>
      </c>
    </row>
    <row r="3113" spans="3:3">
      <c r="C3113">
        <v>71252</v>
      </c>
    </row>
    <row r="3114" spans="3:3">
      <c r="C3114">
        <v>71275</v>
      </c>
    </row>
    <row r="3115" spans="3:3">
      <c r="C3115">
        <v>71298</v>
      </c>
    </row>
    <row r="3116" spans="3:3">
      <c r="C3116">
        <v>71321</v>
      </c>
    </row>
    <row r="3117" spans="3:3">
      <c r="C3117">
        <v>71344</v>
      </c>
    </row>
    <row r="3118" spans="3:3">
      <c r="C3118">
        <v>71367</v>
      </c>
    </row>
    <row r="3119" spans="3:3">
      <c r="C3119">
        <v>71390</v>
      </c>
    </row>
    <row r="3120" spans="3:3">
      <c r="C3120">
        <v>71413</v>
      </c>
    </row>
    <row r="3121" spans="3:3">
      <c r="C3121">
        <v>71437</v>
      </c>
    </row>
    <row r="3122" spans="3:3">
      <c r="C3122">
        <v>71460</v>
      </c>
    </row>
    <row r="3123" spans="3:3">
      <c r="C3123">
        <v>71483</v>
      </c>
    </row>
    <row r="3124" spans="3:3">
      <c r="C3124">
        <v>71506</v>
      </c>
    </row>
    <row r="3125" spans="3:3">
      <c r="C3125">
        <v>71529</v>
      </c>
    </row>
    <row r="3126" spans="3:3">
      <c r="C3126">
        <v>71552</v>
      </c>
    </row>
    <row r="3127" spans="3:3">
      <c r="C3127">
        <v>71575</v>
      </c>
    </row>
    <row r="3128" spans="3:3">
      <c r="C3128">
        <v>71598</v>
      </c>
    </row>
    <row r="3129" spans="3:3">
      <c r="C3129">
        <v>71621</v>
      </c>
    </row>
    <row r="3130" spans="3:3">
      <c r="C3130">
        <v>71644</v>
      </c>
    </row>
    <row r="3131" spans="3:3">
      <c r="C3131">
        <v>71667</v>
      </c>
    </row>
    <row r="3132" spans="3:3">
      <c r="C3132">
        <v>71690</v>
      </c>
    </row>
    <row r="3133" spans="3:3">
      <c r="C3133">
        <v>71713</v>
      </c>
    </row>
    <row r="3134" spans="3:3">
      <c r="C3134">
        <v>71737</v>
      </c>
    </row>
    <row r="3135" spans="3:3">
      <c r="C3135">
        <v>71760</v>
      </c>
    </row>
    <row r="3136" spans="3:3">
      <c r="C3136">
        <v>71783</v>
      </c>
    </row>
    <row r="3137" spans="3:3">
      <c r="C3137">
        <v>71806</v>
      </c>
    </row>
    <row r="3138" spans="3:3">
      <c r="C3138">
        <v>71829</v>
      </c>
    </row>
    <row r="3139" spans="3:3">
      <c r="C3139">
        <v>71852</v>
      </c>
    </row>
    <row r="3140" spans="3:3">
      <c r="C3140">
        <v>71875</v>
      </c>
    </row>
    <row r="3141" spans="3:3">
      <c r="C3141">
        <v>71898</v>
      </c>
    </row>
    <row r="3142" spans="3:3">
      <c r="C3142">
        <v>71921</v>
      </c>
    </row>
    <row r="3143" spans="3:3">
      <c r="C3143">
        <v>71944</v>
      </c>
    </row>
    <row r="3144" spans="3:3">
      <c r="C3144">
        <v>71967</v>
      </c>
    </row>
    <row r="3145" spans="3:3">
      <c r="C3145">
        <v>71990</v>
      </c>
    </row>
    <row r="3146" spans="3:3">
      <c r="C3146">
        <v>72013</v>
      </c>
    </row>
    <row r="3147" spans="3:3">
      <c r="C3147">
        <v>72037</v>
      </c>
    </row>
    <row r="3148" spans="3:3">
      <c r="C3148">
        <v>72060</v>
      </c>
    </row>
    <row r="3149" spans="3:3">
      <c r="C3149">
        <v>72083</v>
      </c>
    </row>
    <row r="3150" spans="3:3">
      <c r="C3150">
        <v>72106</v>
      </c>
    </row>
    <row r="3151" spans="3:3">
      <c r="C3151">
        <v>72129</v>
      </c>
    </row>
    <row r="3152" spans="3:3">
      <c r="C3152">
        <v>72152</v>
      </c>
    </row>
    <row r="3153" spans="3:3">
      <c r="C3153">
        <v>72175</v>
      </c>
    </row>
    <row r="3154" spans="3:3">
      <c r="C3154">
        <v>72198</v>
      </c>
    </row>
    <row r="3155" spans="3:3">
      <c r="C3155">
        <v>72221</v>
      </c>
    </row>
    <row r="3156" spans="3:3">
      <c r="C3156">
        <v>72244</v>
      </c>
    </row>
    <row r="3157" spans="3:3">
      <c r="C3157">
        <v>72267</v>
      </c>
    </row>
    <row r="3158" spans="3:3">
      <c r="C3158">
        <v>72290</v>
      </c>
    </row>
    <row r="3159" spans="3:3">
      <c r="C3159">
        <v>72313</v>
      </c>
    </row>
    <row r="3160" spans="3:3">
      <c r="C3160">
        <v>72337</v>
      </c>
    </row>
    <row r="3161" spans="3:3">
      <c r="C3161">
        <v>72360</v>
      </c>
    </row>
    <row r="3162" spans="3:3">
      <c r="C3162">
        <v>72383</v>
      </c>
    </row>
    <row r="3163" spans="3:3">
      <c r="C3163">
        <v>72406</v>
      </c>
    </row>
    <row r="3164" spans="3:3">
      <c r="C3164">
        <v>72429</v>
      </c>
    </row>
    <row r="3165" spans="3:3">
      <c r="C3165">
        <v>72452</v>
      </c>
    </row>
    <row r="3166" spans="3:3">
      <c r="C3166">
        <v>72475</v>
      </c>
    </row>
    <row r="3167" spans="3:3">
      <c r="C3167">
        <v>72498</v>
      </c>
    </row>
    <row r="3168" spans="3:3">
      <c r="C3168">
        <v>72521</v>
      </c>
    </row>
    <row r="3169" spans="3:3">
      <c r="C3169">
        <v>72544</v>
      </c>
    </row>
    <row r="3170" spans="3:3">
      <c r="C3170">
        <v>72567</v>
      </c>
    </row>
    <row r="3171" spans="3:3">
      <c r="C3171">
        <v>72590</v>
      </c>
    </row>
    <row r="3172" spans="3:3">
      <c r="C3172">
        <v>72613</v>
      </c>
    </row>
    <row r="3173" spans="3:3">
      <c r="C3173">
        <v>72637</v>
      </c>
    </row>
    <row r="3174" spans="3:3">
      <c r="C3174">
        <v>72660</v>
      </c>
    </row>
    <row r="3175" spans="3:3">
      <c r="C3175">
        <v>72683</v>
      </c>
    </row>
    <row r="3176" spans="3:3">
      <c r="C3176">
        <v>72706</v>
      </c>
    </row>
    <row r="3177" spans="3:3">
      <c r="C3177">
        <v>72729</v>
      </c>
    </row>
    <row r="3178" spans="3:3">
      <c r="C3178">
        <v>72752</v>
      </c>
    </row>
    <row r="3179" spans="3:3">
      <c r="C3179">
        <v>72775</v>
      </c>
    </row>
    <row r="3180" spans="3:3">
      <c r="C3180">
        <v>72798</v>
      </c>
    </row>
    <row r="3181" spans="3:3">
      <c r="C3181">
        <v>72821</v>
      </c>
    </row>
    <row r="3182" spans="3:3">
      <c r="C3182">
        <v>72844</v>
      </c>
    </row>
    <row r="3183" spans="3:3">
      <c r="C3183">
        <v>72867</v>
      </c>
    </row>
    <row r="3184" spans="3:3">
      <c r="C3184">
        <v>72890</v>
      </c>
    </row>
    <row r="3185" spans="3:3">
      <c r="C3185">
        <v>72913</v>
      </c>
    </row>
    <row r="3186" spans="3:3">
      <c r="C3186">
        <v>72937</v>
      </c>
    </row>
    <row r="3187" spans="3:3">
      <c r="C3187">
        <v>72960</v>
      </c>
    </row>
    <row r="3188" spans="3:3">
      <c r="C3188">
        <v>72983</v>
      </c>
    </row>
    <row r="3189" spans="3:3">
      <c r="C3189">
        <v>73006</v>
      </c>
    </row>
    <row r="3190" spans="3:3">
      <c r="C3190">
        <v>73029</v>
      </c>
    </row>
    <row r="3191" spans="3:3">
      <c r="C3191">
        <v>73052</v>
      </c>
    </row>
    <row r="3192" spans="3:3">
      <c r="C3192">
        <v>73075</v>
      </c>
    </row>
    <row r="3193" spans="3:3">
      <c r="C3193">
        <v>73098</v>
      </c>
    </row>
    <row r="3194" spans="3:3">
      <c r="C3194">
        <v>73121</v>
      </c>
    </row>
    <row r="3195" spans="3:3">
      <c r="C3195">
        <v>73144</v>
      </c>
    </row>
    <row r="3196" spans="3:3">
      <c r="C3196">
        <v>73167</v>
      </c>
    </row>
    <row r="3197" spans="3:3">
      <c r="C3197">
        <v>73190</v>
      </c>
    </row>
    <row r="3198" spans="3:3">
      <c r="C3198">
        <v>73213</v>
      </c>
    </row>
    <row r="3199" spans="3:3">
      <c r="C3199">
        <v>73237</v>
      </c>
    </row>
    <row r="3200" spans="3:3">
      <c r="C3200">
        <v>73260</v>
      </c>
    </row>
    <row r="3201" spans="3:3">
      <c r="C3201">
        <v>73283</v>
      </c>
    </row>
    <row r="3202" spans="3:3">
      <c r="C3202">
        <v>73306</v>
      </c>
    </row>
    <row r="3203" spans="3:3">
      <c r="C3203">
        <v>73329</v>
      </c>
    </row>
    <row r="3204" spans="3:3">
      <c r="C3204">
        <v>73352</v>
      </c>
    </row>
    <row r="3205" spans="3:3">
      <c r="C3205">
        <v>73375</v>
      </c>
    </row>
    <row r="3206" spans="3:3">
      <c r="C3206">
        <v>73398</v>
      </c>
    </row>
    <row r="3207" spans="3:3">
      <c r="C3207">
        <v>73421</v>
      </c>
    </row>
    <row r="3208" spans="3:3">
      <c r="C3208">
        <v>73444</v>
      </c>
    </row>
    <row r="3209" spans="3:3">
      <c r="C3209">
        <v>73467</v>
      </c>
    </row>
    <row r="3210" spans="3:3">
      <c r="C3210">
        <v>73490</v>
      </c>
    </row>
    <row r="3211" spans="3:3">
      <c r="C3211">
        <v>73513</v>
      </c>
    </row>
    <row r="3212" spans="3:3">
      <c r="C3212">
        <v>73537</v>
      </c>
    </row>
    <row r="3213" spans="3:3">
      <c r="C3213">
        <v>73560</v>
      </c>
    </row>
    <row r="3214" spans="3:3">
      <c r="C3214">
        <v>73583</v>
      </c>
    </row>
    <row r="3215" spans="3:3">
      <c r="C3215">
        <v>73606</v>
      </c>
    </row>
    <row r="3216" spans="3:3">
      <c r="C3216">
        <v>73629</v>
      </c>
    </row>
    <row r="3217" spans="3:3">
      <c r="C3217">
        <v>73652</v>
      </c>
    </row>
    <row r="3218" spans="3:3">
      <c r="C3218">
        <v>73675</v>
      </c>
    </row>
    <row r="3219" spans="3:3">
      <c r="C3219">
        <v>73698</v>
      </c>
    </row>
    <row r="3220" spans="3:3">
      <c r="C3220">
        <v>73721</v>
      </c>
    </row>
    <row r="3221" spans="3:3">
      <c r="C3221">
        <v>73744</v>
      </c>
    </row>
    <row r="3222" spans="3:3">
      <c r="C3222">
        <v>73767</v>
      </c>
    </row>
    <row r="3223" spans="3:3">
      <c r="C3223">
        <v>73790</v>
      </c>
    </row>
    <row r="3224" spans="3:3">
      <c r="C3224">
        <v>73813</v>
      </c>
    </row>
    <row r="3225" spans="3:3">
      <c r="C3225">
        <v>73837</v>
      </c>
    </row>
    <row r="3226" spans="3:3">
      <c r="C3226">
        <v>73860</v>
      </c>
    </row>
    <row r="3227" spans="3:3">
      <c r="C3227">
        <v>73883</v>
      </c>
    </row>
    <row r="3228" spans="3:3">
      <c r="C3228">
        <v>73906</v>
      </c>
    </row>
    <row r="3229" spans="3:3">
      <c r="C3229">
        <v>73929</v>
      </c>
    </row>
    <row r="3230" spans="3:3">
      <c r="C3230">
        <v>73952</v>
      </c>
    </row>
    <row r="3231" spans="3:3">
      <c r="C3231">
        <v>73975</v>
      </c>
    </row>
    <row r="3232" spans="3:3">
      <c r="C3232">
        <v>73998</v>
      </c>
    </row>
    <row r="3233" spans="3:3">
      <c r="C3233">
        <v>74021</v>
      </c>
    </row>
    <row r="3234" spans="3:3">
      <c r="C3234">
        <v>74044</v>
      </c>
    </row>
    <row r="3235" spans="3:3">
      <c r="C3235">
        <v>74067</v>
      </c>
    </row>
    <row r="3236" spans="3:3">
      <c r="C3236">
        <v>74090</v>
      </c>
    </row>
    <row r="3237" spans="3:3">
      <c r="C3237">
        <v>74113</v>
      </c>
    </row>
    <row r="3238" spans="3:3">
      <c r="C3238">
        <v>74137</v>
      </c>
    </row>
    <row r="3239" spans="3:3">
      <c r="C3239">
        <v>74160</v>
      </c>
    </row>
    <row r="3240" spans="3:3">
      <c r="C3240">
        <v>74183</v>
      </c>
    </row>
    <row r="3241" spans="3:3">
      <c r="C3241">
        <v>74206</v>
      </c>
    </row>
    <row r="3242" spans="3:3">
      <c r="C3242">
        <v>74229</v>
      </c>
    </row>
    <row r="3243" spans="3:3">
      <c r="C3243">
        <v>74252</v>
      </c>
    </row>
    <row r="3244" spans="3:3">
      <c r="C3244">
        <v>74275</v>
      </c>
    </row>
    <row r="3245" spans="3:3">
      <c r="C3245">
        <v>74298</v>
      </c>
    </row>
    <row r="3246" spans="3:3">
      <c r="C3246">
        <v>74321</v>
      </c>
    </row>
    <row r="3247" spans="3:3">
      <c r="C3247">
        <v>74344</v>
      </c>
    </row>
    <row r="3248" spans="3:3">
      <c r="C3248">
        <v>74367</v>
      </c>
    </row>
    <row r="3249" spans="3:3">
      <c r="C3249">
        <v>74390</v>
      </c>
    </row>
    <row r="3250" spans="3:3">
      <c r="C3250">
        <v>74413</v>
      </c>
    </row>
    <row r="3251" spans="3:3">
      <c r="C3251">
        <v>74437</v>
      </c>
    </row>
    <row r="3252" spans="3:3">
      <c r="C3252">
        <v>74460</v>
      </c>
    </row>
    <row r="3253" spans="3:3">
      <c r="C3253">
        <v>74483</v>
      </c>
    </row>
    <row r="3254" spans="3:3">
      <c r="C3254">
        <v>74506</v>
      </c>
    </row>
    <row r="3255" spans="3:3">
      <c r="C3255">
        <v>74529</v>
      </c>
    </row>
    <row r="3256" spans="3:3">
      <c r="C3256">
        <v>74552</v>
      </c>
    </row>
    <row r="3257" spans="3:3">
      <c r="C3257">
        <v>74575</v>
      </c>
    </row>
    <row r="3258" spans="3:3">
      <c r="C3258">
        <v>74598</v>
      </c>
    </row>
    <row r="3259" spans="3:3">
      <c r="C3259">
        <v>74621</v>
      </c>
    </row>
    <row r="3260" spans="3:3">
      <c r="C3260">
        <v>74644</v>
      </c>
    </row>
    <row r="3261" spans="3:3">
      <c r="C3261">
        <v>74667</v>
      </c>
    </row>
    <row r="3262" spans="3:3">
      <c r="C3262">
        <v>74690</v>
      </c>
    </row>
    <row r="3263" spans="3:3">
      <c r="C3263">
        <v>74713</v>
      </c>
    </row>
    <row r="3264" spans="3:3">
      <c r="C3264">
        <v>74737</v>
      </c>
    </row>
    <row r="3265" spans="3:3">
      <c r="C3265">
        <v>74760</v>
      </c>
    </row>
    <row r="3266" spans="3:3">
      <c r="C3266">
        <v>74783</v>
      </c>
    </row>
    <row r="3267" spans="3:3">
      <c r="C3267">
        <v>74806</v>
      </c>
    </row>
    <row r="3268" spans="3:3">
      <c r="C3268">
        <v>74829</v>
      </c>
    </row>
    <row r="3269" spans="3:3">
      <c r="C3269">
        <v>74852</v>
      </c>
    </row>
    <row r="3270" spans="3:3">
      <c r="C3270">
        <v>74875</v>
      </c>
    </row>
    <row r="3271" spans="3:3">
      <c r="C3271">
        <v>74898</v>
      </c>
    </row>
    <row r="3272" spans="3:3">
      <c r="C3272">
        <v>74921</v>
      </c>
    </row>
    <row r="3273" spans="3:3">
      <c r="C3273">
        <v>74944</v>
      </c>
    </row>
    <row r="3274" spans="3:3">
      <c r="C3274">
        <v>74967</v>
      </c>
    </row>
    <row r="3275" spans="3:3">
      <c r="C3275">
        <v>74990</v>
      </c>
    </row>
    <row r="3276" spans="3:3">
      <c r="C3276">
        <v>75013</v>
      </c>
    </row>
    <row r="3277" spans="3:3">
      <c r="C3277">
        <v>75037</v>
      </c>
    </row>
    <row r="3278" spans="3:3">
      <c r="C3278">
        <v>75060</v>
      </c>
    </row>
    <row r="3279" spans="3:3">
      <c r="C3279">
        <v>75083</v>
      </c>
    </row>
    <row r="3280" spans="3:3">
      <c r="C3280">
        <v>75106</v>
      </c>
    </row>
    <row r="3281" spans="3:3">
      <c r="C3281">
        <v>75129</v>
      </c>
    </row>
    <row r="3282" spans="3:3">
      <c r="C3282">
        <v>75152</v>
      </c>
    </row>
    <row r="3283" spans="3:3">
      <c r="C3283">
        <v>75175</v>
      </c>
    </row>
    <row r="3284" spans="3:3">
      <c r="C3284">
        <v>75198</v>
      </c>
    </row>
    <row r="3285" spans="3:3">
      <c r="C3285">
        <v>75221</v>
      </c>
    </row>
    <row r="3286" spans="3:3">
      <c r="C3286">
        <v>75244</v>
      </c>
    </row>
    <row r="3287" spans="3:3">
      <c r="C3287">
        <v>75267</v>
      </c>
    </row>
    <row r="3288" spans="3:3">
      <c r="C3288">
        <v>75290</v>
      </c>
    </row>
    <row r="3289" spans="3:3">
      <c r="C3289">
        <v>75313</v>
      </c>
    </row>
    <row r="3290" spans="3:3">
      <c r="C3290">
        <v>75337</v>
      </c>
    </row>
    <row r="3291" spans="3:3">
      <c r="C3291">
        <v>75360</v>
      </c>
    </row>
    <row r="3292" spans="3:3">
      <c r="C3292">
        <v>75383</v>
      </c>
    </row>
    <row r="3293" spans="3:3">
      <c r="C3293">
        <v>75406</v>
      </c>
    </row>
    <row r="3294" spans="3:3">
      <c r="C3294">
        <v>75429</v>
      </c>
    </row>
    <row r="3295" spans="3:3">
      <c r="C3295">
        <v>75452</v>
      </c>
    </row>
    <row r="3296" spans="3:3">
      <c r="C3296">
        <v>75475</v>
      </c>
    </row>
    <row r="3297" spans="3:3">
      <c r="C3297">
        <v>75498</v>
      </c>
    </row>
    <row r="3298" spans="3:3">
      <c r="C3298">
        <v>75521</v>
      </c>
    </row>
    <row r="3299" spans="3:3">
      <c r="C3299">
        <v>75544</v>
      </c>
    </row>
    <row r="3300" spans="3:3">
      <c r="C3300">
        <v>75567</v>
      </c>
    </row>
    <row r="3301" spans="3:3">
      <c r="C3301">
        <v>75590</v>
      </c>
    </row>
    <row r="3302" spans="3:3">
      <c r="C3302">
        <v>75613</v>
      </c>
    </row>
    <row r="3303" spans="3:3">
      <c r="C3303">
        <v>75637</v>
      </c>
    </row>
    <row r="3304" spans="3:3">
      <c r="C3304">
        <v>75660</v>
      </c>
    </row>
    <row r="3305" spans="3:3">
      <c r="C3305">
        <v>75683</v>
      </c>
    </row>
    <row r="3306" spans="3:3">
      <c r="C3306">
        <v>75706</v>
      </c>
    </row>
    <row r="3307" spans="3:3">
      <c r="C3307">
        <v>75729</v>
      </c>
    </row>
    <row r="3308" spans="3:3">
      <c r="C3308">
        <v>75752</v>
      </c>
    </row>
    <row r="3309" spans="3:3">
      <c r="C3309">
        <v>75775</v>
      </c>
    </row>
    <row r="3310" spans="3:3">
      <c r="C3310">
        <v>75798</v>
      </c>
    </row>
    <row r="3311" spans="3:3">
      <c r="C3311">
        <v>75821</v>
      </c>
    </row>
    <row r="3312" spans="3:3">
      <c r="C3312">
        <v>75844</v>
      </c>
    </row>
    <row r="3313" spans="3:3">
      <c r="C3313">
        <v>75867</v>
      </c>
    </row>
    <row r="3314" spans="3:3">
      <c r="C3314">
        <v>75890</v>
      </c>
    </row>
    <row r="3315" spans="3:3">
      <c r="C3315">
        <v>75913</v>
      </c>
    </row>
    <row r="3316" spans="3:3">
      <c r="C3316">
        <v>75937</v>
      </c>
    </row>
    <row r="3317" spans="3:3">
      <c r="C3317">
        <v>75960</v>
      </c>
    </row>
    <row r="3318" spans="3:3">
      <c r="C3318">
        <v>75983</v>
      </c>
    </row>
    <row r="3319" spans="3:3">
      <c r="C3319">
        <v>76006</v>
      </c>
    </row>
    <row r="3320" spans="3:3">
      <c r="C3320">
        <v>76029</v>
      </c>
    </row>
    <row r="3321" spans="3:3">
      <c r="C3321">
        <v>76052</v>
      </c>
    </row>
    <row r="3322" spans="3:3">
      <c r="C3322">
        <v>76075</v>
      </c>
    </row>
    <row r="3323" spans="3:3">
      <c r="C3323">
        <v>76098</v>
      </c>
    </row>
    <row r="3324" spans="3:3">
      <c r="C3324">
        <v>76121</v>
      </c>
    </row>
    <row r="3325" spans="3:3">
      <c r="C3325">
        <v>76144</v>
      </c>
    </row>
    <row r="3326" spans="3:3">
      <c r="C3326">
        <v>76167</v>
      </c>
    </row>
    <row r="3327" spans="3:3">
      <c r="C3327">
        <v>76190</v>
      </c>
    </row>
    <row r="3328" spans="3:3">
      <c r="C3328">
        <v>76213</v>
      </c>
    </row>
    <row r="3329" spans="3:3">
      <c r="C3329">
        <v>76237</v>
      </c>
    </row>
    <row r="3330" spans="3:3">
      <c r="C3330">
        <v>76260</v>
      </c>
    </row>
    <row r="3331" spans="3:3">
      <c r="C3331">
        <v>76283</v>
      </c>
    </row>
    <row r="3332" spans="3:3">
      <c r="C3332">
        <v>76306</v>
      </c>
    </row>
    <row r="3333" spans="3:3">
      <c r="C3333">
        <v>76329</v>
      </c>
    </row>
    <row r="3334" spans="3:3">
      <c r="C3334">
        <v>76352</v>
      </c>
    </row>
    <row r="3335" spans="3:3">
      <c r="C3335">
        <v>76375</v>
      </c>
    </row>
    <row r="3336" spans="3:3">
      <c r="C3336">
        <v>76398</v>
      </c>
    </row>
    <row r="3337" spans="3:3">
      <c r="C3337">
        <v>76421</v>
      </c>
    </row>
    <row r="3338" spans="3:3">
      <c r="C3338">
        <v>76444</v>
      </c>
    </row>
    <row r="3339" spans="3:3">
      <c r="C3339">
        <v>76467</v>
      </c>
    </row>
    <row r="3340" spans="3:3">
      <c r="C3340">
        <v>76490</v>
      </c>
    </row>
    <row r="3341" spans="3:3">
      <c r="C3341">
        <v>76513</v>
      </c>
    </row>
    <row r="3342" spans="3:3">
      <c r="C3342">
        <v>76537</v>
      </c>
    </row>
    <row r="3343" spans="3:3">
      <c r="C3343">
        <v>76560</v>
      </c>
    </row>
    <row r="3344" spans="3:3">
      <c r="C3344">
        <v>76583</v>
      </c>
    </row>
    <row r="3345" spans="3:3">
      <c r="C3345">
        <v>76606</v>
      </c>
    </row>
    <row r="3346" spans="3:3">
      <c r="C3346">
        <v>76629</v>
      </c>
    </row>
    <row r="3347" spans="3:3">
      <c r="C3347">
        <v>76652</v>
      </c>
    </row>
    <row r="3348" spans="3:3">
      <c r="C3348">
        <v>76675</v>
      </c>
    </row>
    <row r="3349" spans="3:3">
      <c r="C3349">
        <v>76698</v>
      </c>
    </row>
    <row r="3350" spans="3:3">
      <c r="C3350">
        <v>76721</v>
      </c>
    </row>
    <row r="3351" spans="3:3">
      <c r="C3351">
        <v>76744</v>
      </c>
    </row>
    <row r="3352" spans="3:3">
      <c r="C3352">
        <v>76767</v>
      </c>
    </row>
    <row r="3353" spans="3:3">
      <c r="C3353">
        <v>76790</v>
      </c>
    </row>
    <row r="3354" spans="3:3">
      <c r="C3354">
        <v>76813</v>
      </c>
    </row>
    <row r="3355" spans="3:3">
      <c r="C3355">
        <v>76837</v>
      </c>
    </row>
    <row r="3356" spans="3:3">
      <c r="C3356">
        <v>76860</v>
      </c>
    </row>
    <row r="3357" spans="3:3">
      <c r="C3357">
        <v>76883</v>
      </c>
    </row>
    <row r="3358" spans="3:3">
      <c r="C3358">
        <v>76906</v>
      </c>
    </row>
    <row r="3359" spans="3:3">
      <c r="C3359">
        <v>76929</v>
      </c>
    </row>
    <row r="3360" spans="3:3">
      <c r="C3360">
        <v>76952</v>
      </c>
    </row>
    <row r="3361" spans="3:3">
      <c r="C3361">
        <v>76975</v>
      </c>
    </row>
    <row r="3362" spans="3:3">
      <c r="C3362">
        <v>76998</v>
      </c>
    </row>
    <row r="3363" spans="3:3">
      <c r="C3363">
        <v>77021</v>
      </c>
    </row>
    <row r="3364" spans="3:3">
      <c r="C3364">
        <v>77044</v>
      </c>
    </row>
    <row r="3365" spans="3:3">
      <c r="C3365">
        <v>77067</v>
      </c>
    </row>
    <row r="3366" spans="3:3">
      <c r="C3366">
        <v>77090</v>
      </c>
    </row>
    <row r="3367" spans="3:3">
      <c r="C3367">
        <v>77113</v>
      </c>
    </row>
    <row r="3368" spans="3:3">
      <c r="C3368">
        <v>77137</v>
      </c>
    </row>
    <row r="3369" spans="3:3">
      <c r="C3369">
        <v>77160</v>
      </c>
    </row>
    <row r="3370" spans="3:3">
      <c r="C3370">
        <v>77183</v>
      </c>
    </row>
    <row r="3371" spans="3:3">
      <c r="C3371">
        <v>77206</v>
      </c>
    </row>
    <row r="3372" spans="3:3">
      <c r="C3372">
        <v>77229</v>
      </c>
    </row>
    <row r="3373" spans="3:3">
      <c r="C3373">
        <v>77252</v>
      </c>
    </row>
    <row r="3374" spans="3:3">
      <c r="C3374">
        <v>77275</v>
      </c>
    </row>
    <row r="3375" spans="3:3">
      <c r="C3375">
        <v>77298</v>
      </c>
    </row>
    <row r="3376" spans="3:3">
      <c r="C3376">
        <v>77321</v>
      </c>
    </row>
    <row r="3377" spans="3:3">
      <c r="C3377">
        <v>77344</v>
      </c>
    </row>
    <row r="3378" spans="3:3">
      <c r="C3378">
        <v>77367</v>
      </c>
    </row>
    <row r="3379" spans="3:3">
      <c r="C3379">
        <v>77390</v>
      </c>
    </row>
    <row r="3380" spans="3:3">
      <c r="C3380">
        <v>77413</v>
      </c>
    </row>
    <row r="3381" spans="3:3">
      <c r="C3381">
        <v>77437</v>
      </c>
    </row>
    <row r="3382" spans="3:3">
      <c r="C3382">
        <v>77460</v>
      </c>
    </row>
    <row r="3383" spans="3:3">
      <c r="C3383">
        <v>77483</v>
      </c>
    </row>
    <row r="3384" spans="3:3">
      <c r="C3384">
        <v>77506</v>
      </c>
    </row>
    <row r="3385" spans="3:3">
      <c r="C3385">
        <v>77529</v>
      </c>
    </row>
    <row r="3386" spans="3:3">
      <c r="C3386">
        <v>77552</v>
      </c>
    </row>
    <row r="3387" spans="3:3">
      <c r="C3387">
        <v>77575</v>
      </c>
    </row>
    <row r="3388" spans="3:3">
      <c r="C3388">
        <v>77598</v>
      </c>
    </row>
    <row r="3389" spans="3:3">
      <c r="C3389">
        <v>77621</v>
      </c>
    </row>
    <row r="3390" spans="3:3">
      <c r="C3390">
        <v>77644</v>
      </c>
    </row>
    <row r="3391" spans="3:3">
      <c r="C3391">
        <v>77667</v>
      </c>
    </row>
    <row r="3392" spans="3:3">
      <c r="C3392">
        <v>77690</v>
      </c>
    </row>
    <row r="3393" spans="3:3">
      <c r="C3393">
        <v>77713</v>
      </c>
    </row>
    <row r="3394" spans="3:3">
      <c r="C3394">
        <v>77737</v>
      </c>
    </row>
    <row r="3395" spans="3:3">
      <c r="C3395">
        <v>77760</v>
      </c>
    </row>
    <row r="3396" spans="3:3">
      <c r="C3396">
        <v>77783</v>
      </c>
    </row>
    <row r="3397" spans="3:3">
      <c r="C3397">
        <v>77806</v>
      </c>
    </row>
    <row r="3398" spans="3:3">
      <c r="C3398">
        <v>77829</v>
      </c>
    </row>
    <row r="3399" spans="3:3">
      <c r="C3399">
        <v>77852</v>
      </c>
    </row>
    <row r="3400" spans="3:3">
      <c r="C3400">
        <v>77875</v>
      </c>
    </row>
    <row r="3401" spans="3:3">
      <c r="C3401">
        <v>77898</v>
      </c>
    </row>
    <row r="3402" spans="3:3">
      <c r="C3402">
        <v>77921</v>
      </c>
    </row>
    <row r="3403" spans="3:3">
      <c r="C3403">
        <v>77944</v>
      </c>
    </row>
    <row r="3404" spans="3:3">
      <c r="C3404">
        <v>77967</v>
      </c>
    </row>
    <row r="3405" spans="3:3">
      <c r="C3405">
        <v>77990</v>
      </c>
    </row>
    <row r="3406" spans="3:3">
      <c r="C3406">
        <v>78013</v>
      </c>
    </row>
    <row r="3407" spans="3:3">
      <c r="C3407">
        <v>78037</v>
      </c>
    </row>
    <row r="3408" spans="3:3">
      <c r="C3408">
        <v>78060</v>
      </c>
    </row>
    <row r="3409" spans="3:3">
      <c r="C3409">
        <v>78083</v>
      </c>
    </row>
    <row r="3410" spans="3:3">
      <c r="C3410">
        <v>78106</v>
      </c>
    </row>
    <row r="3411" spans="3:3">
      <c r="C3411">
        <v>78129</v>
      </c>
    </row>
    <row r="3412" spans="3:3">
      <c r="C3412">
        <v>78152</v>
      </c>
    </row>
    <row r="3413" spans="3:3">
      <c r="C3413">
        <v>78175</v>
      </c>
    </row>
    <row r="3414" spans="3:3">
      <c r="C3414">
        <v>78198</v>
      </c>
    </row>
    <row r="3415" spans="3:3">
      <c r="C3415">
        <v>78221</v>
      </c>
    </row>
    <row r="3416" spans="3:3">
      <c r="C3416">
        <v>78244</v>
      </c>
    </row>
    <row r="3417" spans="3:3">
      <c r="C3417">
        <v>78267</v>
      </c>
    </row>
    <row r="3418" spans="3:3">
      <c r="C3418">
        <v>78290</v>
      </c>
    </row>
    <row r="3419" spans="3:3">
      <c r="C3419">
        <v>78313</v>
      </c>
    </row>
    <row r="3420" spans="3:3">
      <c r="C3420">
        <v>78337</v>
      </c>
    </row>
    <row r="3421" spans="3:3">
      <c r="C3421">
        <v>78360</v>
      </c>
    </row>
    <row r="3422" spans="3:3">
      <c r="C3422">
        <v>78383</v>
      </c>
    </row>
    <row r="3423" spans="3:3">
      <c r="C3423">
        <v>78406</v>
      </c>
    </row>
    <row r="3424" spans="3:3">
      <c r="C3424">
        <v>78429</v>
      </c>
    </row>
    <row r="3425" spans="3:3">
      <c r="C3425">
        <v>78452</v>
      </c>
    </row>
    <row r="3426" spans="3:3">
      <c r="C3426">
        <v>78475</v>
      </c>
    </row>
    <row r="3427" spans="3:3">
      <c r="C3427">
        <v>78498</v>
      </c>
    </row>
    <row r="3428" spans="3:3">
      <c r="C3428">
        <v>78521</v>
      </c>
    </row>
    <row r="3429" spans="3:3">
      <c r="C3429">
        <v>78544</v>
      </c>
    </row>
    <row r="3430" spans="3:3">
      <c r="C3430">
        <v>78567</v>
      </c>
    </row>
    <row r="3431" spans="3:3">
      <c r="C3431">
        <v>78590</v>
      </c>
    </row>
    <row r="3432" spans="3:3">
      <c r="C3432">
        <v>78613</v>
      </c>
    </row>
    <row r="3433" spans="3:3">
      <c r="C3433">
        <v>78637</v>
      </c>
    </row>
    <row r="3434" spans="3:3">
      <c r="C3434">
        <v>78660</v>
      </c>
    </row>
    <row r="3435" spans="3:3">
      <c r="C3435">
        <v>78683</v>
      </c>
    </row>
    <row r="3436" spans="3:3">
      <c r="C3436">
        <v>78706</v>
      </c>
    </row>
    <row r="3437" spans="3:3">
      <c r="C3437">
        <v>78729</v>
      </c>
    </row>
    <row r="3438" spans="3:3">
      <c r="C3438">
        <v>78752</v>
      </c>
    </row>
    <row r="3439" spans="3:3">
      <c r="C3439">
        <v>78775</v>
      </c>
    </row>
    <row r="3440" spans="3:3">
      <c r="C3440">
        <v>78798</v>
      </c>
    </row>
    <row r="3441" spans="3:3">
      <c r="C3441">
        <v>78821</v>
      </c>
    </row>
    <row r="3442" spans="3:3">
      <c r="C3442">
        <v>78844</v>
      </c>
    </row>
    <row r="3443" spans="3:3">
      <c r="C3443">
        <v>78867</v>
      </c>
    </row>
    <row r="3444" spans="3:3">
      <c r="C3444">
        <v>78890</v>
      </c>
    </row>
    <row r="3445" spans="3:3">
      <c r="C3445">
        <v>78913</v>
      </c>
    </row>
    <row r="3446" spans="3:3">
      <c r="C3446">
        <v>78937</v>
      </c>
    </row>
    <row r="3447" spans="3:3">
      <c r="C3447">
        <v>78960</v>
      </c>
    </row>
    <row r="3448" spans="3:3">
      <c r="C3448">
        <v>78983</v>
      </c>
    </row>
    <row r="3449" spans="3:3">
      <c r="C3449">
        <v>79006</v>
      </c>
    </row>
    <row r="3450" spans="3:3">
      <c r="C3450">
        <v>79029</v>
      </c>
    </row>
    <row r="3451" spans="3:3">
      <c r="C3451">
        <v>79052</v>
      </c>
    </row>
    <row r="3452" spans="3:3">
      <c r="C3452">
        <v>79075</v>
      </c>
    </row>
    <row r="3453" spans="3:3">
      <c r="C3453">
        <v>79098</v>
      </c>
    </row>
    <row r="3454" spans="3:3">
      <c r="C3454">
        <v>79121</v>
      </c>
    </row>
    <row r="3455" spans="3:3">
      <c r="C3455">
        <v>79144</v>
      </c>
    </row>
    <row r="3456" spans="3:3">
      <c r="C3456">
        <v>79167</v>
      </c>
    </row>
    <row r="3457" spans="3:3">
      <c r="C3457">
        <v>79190</v>
      </c>
    </row>
    <row r="3458" spans="3:3">
      <c r="C3458">
        <v>79213</v>
      </c>
    </row>
    <row r="3459" spans="3:3">
      <c r="C3459">
        <v>79237</v>
      </c>
    </row>
    <row r="3460" spans="3:3">
      <c r="C3460">
        <v>79260</v>
      </c>
    </row>
    <row r="3461" spans="3:3">
      <c r="C3461">
        <v>79283</v>
      </c>
    </row>
    <row r="3462" spans="3:3">
      <c r="C3462">
        <v>79306</v>
      </c>
    </row>
    <row r="3463" spans="3:3">
      <c r="C3463">
        <v>79329</v>
      </c>
    </row>
    <row r="3464" spans="3:3">
      <c r="C3464">
        <v>79352</v>
      </c>
    </row>
    <row r="3465" spans="3:3">
      <c r="C3465">
        <v>79375</v>
      </c>
    </row>
    <row r="3466" spans="3:3">
      <c r="C3466">
        <v>79398</v>
      </c>
    </row>
    <row r="3467" spans="3:3">
      <c r="C3467">
        <v>79421</v>
      </c>
    </row>
    <row r="3468" spans="3:3">
      <c r="C3468">
        <v>79444</v>
      </c>
    </row>
    <row r="3469" spans="3:3">
      <c r="C3469">
        <v>79467</v>
      </c>
    </row>
    <row r="3470" spans="3:3">
      <c r="C3470">
        <v>79490</v>
      </c>
    </row>
    <row r="3471" spans="3:3">
      <c r="C3471">
        <v>79513</v>
      </c>
    </row>
    <row r="3472" spans="3:3">
      <c r="C3472">
        <v>79537</v>
      </c>
    </row>
    <row r="3473" spans="3:3">
      <c r="C3473">
        <v>79560</v>
      </c>
    </row>
    <row r="3474" spans="3:3">
      <c r="C3474">
        <v>79583</v>
      </c>
    </row>
    <row r="3475" spans="3:3">
      <c r="C3475">
        <v>79606</v>
      </c>
    </row>
    <row r="3476" spans="3:3">
      <c r="C3476">
        <v>79629</v>
      </c>
    </row>
    <row r="3477" spans="3:3">
      <c r="C3477">
        <v>79652</v>
      </c>
    </row>
    <row r="3478" spans="3:3">
      <c r="C3478">
        <v>79675</v>
      </c>
    </row>
    <row r="3479" spans="3:3">
      <c r="C3479">
        <v>79698</v>
      </c>
    </row>
    <row r="3480" spans="3:3">
      <c r="C3480">
        <v>79721</v>
      </c>
    </row>
    <row r="3481" spans="3:3">
      <c r="C3481">
        <v>79744</v>
      </c>
    </row>
    <row r="3482" spans="3:3">
      <c r="C3482">
        <v>79767</v>
      </c>
    </row>
    <row r="3483" spans="3:3">
      <c r="C3483">
        <v>79790</v>
      </c>
    </row>
    <row r="3484" spans="3:3">
      <c r="C3484">
        <v>79813</v>
      </c>
    </row>
    <row r="3485" spans="3:3">
      <c r="C3485">
        <v>79837</v>
      </c>
    </row>
    <row r="3486" spans="3:3">
      <c r="C3486">
        <v>79860</v>
      </c>
    </row>
    <row r="3487" spans="3:3">
      <c r="C3487">
        <v>79883</v>
      </c>
    </row>
    <row r="3488" spans="3:3">
      <c r="C3488">
        <v>79906</v>
      </c>
    </row>
    <row r="3489" spans="3:3">
      <c r="C3489">
        <v>79929</v>
      </c>
    </row>
    <row r="3490" spans="3:3">
      <c r="C3490">
        <v>79952</v>
      </c>
    </row>
    <row r="3491" spans="3:3">
      <c r="C3491">
        <v>79975</v>
      </c>
    </row>
    <row r="3492" spans="3:3">
      <c r="C3492">
        <v>79998</v>
      </c>
    </row>
    <row r="3493" spans="3:3">
      <c r="C3493">
        <v>80021</v>
      </c>
    </row>
    <row r="3494" spans="3:3">
      <c r="C3494">
        <v>80044</v>
      </c>
    </row>
    <row r="3495" spans="3:3">
      <c r="C3495">
        <v>80067</v>
      </c>
    </row>
    <row r="3496" spans="3:3">
      <c r="C3496">
        <v>80090</v>
      </c>
    </row>
    <row r="3497" spans="3:3">
      <c r="C3497">
        <v>80113</v>
      </c>
    </row>
    <row r="3498" spans="3:3">
      <c r="C3498">
        <v>80137</v>
      </c>
    </row>
    <row r="3499" spans="3:3">
      <c r="C3499">
        <v>80160</v>
      </c>
    </row>
    <row r="3500" spans="3:3">
      <c r="C3500">
        <v>80183</v>
      </c>
    </row>
    <row r="3501" spans="3:3">
      <c r="C3501">
        <v>80206</v>
      </c>
    </row>
    <row r="3502" spans="3:3">
      <c r="C3502">
        <v>80229</v>
      </c>
    </row>
    <row r="3503" spans="3:3">
      <c r="C3503">
        <v>80252</v>
      </c>
    </row>
    <row r="3504" spans="3:3">
      <c r="C3504">
        <v>80275</v>
      </c>
    </row>
    <row r="3505" spans="3:3">
      <c r="C3505">
        <v>80298</v>
      </c>
    </row>
    <row r="3506" spans="3:3">
      <c r="C3506">
        <v>80321</v>
      </c>
    </row>
    <row r="3507" spans="3:3">
      <c r="C3507">
        <v>80344</v>
      </c>
    </row>
    <row r="3508" spans="3:3">
      <c r="C3508">
        <v>80367</v>
      </c>
    </row>
    <row r="3509" spans="3:3">
      <c r="C3509">
        <v>80390</v>
      </c>
    </row>
    <row r="3510" spans="3:3">
      <c r="C3510">
        <v>80413</v>
      </c>
    </row>
    <row r="3511" spans="3:3">
      <c r="C3511">
        <v>80437</v>
      </c>
    </row>
    <row r="3512" spans="3:3">
      <c r="C3512">
        <v>80460</v>
      </c>
    </row>
    <row r="3513" spans="3:3">
      <c r="C3513">
        <v>80483</v>
      </c>
    </row>
    <row r="3514" spans="3:3">
      <c r="C3514">
        <v>80506</v>
      </c>
    </row>
    <row r="3515" spans="3:3">
      <c r="C3515">
        <v>80529</v>
      </c>
    </row>
    <row r="3516" spans="3:3">
      <c r="C3516">
        <v>80552</v>
      </c>
    </row>
    <row r="3517" spans="3:3">
      <c r="C3517">
        <v>80575</v>
      </c>
    </row>
    <row r="3518" spans="3:3">
      <c r="C3518">
        <v>80598</v>
      </c>
    </row>
    <row r="3519" spans="3:3">
      <c r="C3519">
        <v>80621</v>
      </c>
    </row>
    <row r="3520" spans="3:3">
      <c r="C3520">
        <v>80644</v>
      </c>
    </row>
    <row r="3521" spans="3:3">
      <c r="C3521">
        <v>80667</v>
      </c>
    </row>
    <row r="3522" spans="3:3">
      <c r="C3522">
        <v>80690</v>
      </c>
    </row>
    <row r="3523" spans="3:3">
      <c r="C3523">
        <v>80713</v>
      </c>
    </row>
    <row r="3524" spans="3:3">
      <c r="C3524">
        <v>80737</v>
      </c>
    </row>
    <row r="3525" spans="3:3">
      <c r="C3525">
        <v>80760</v>
      </c>
    </row>
    <row r="3526" spans="3:3">
      <c r="C3526">
        <v>80783</v>
      </c>
    </row>
    <row r="3527" spans="3:3">
      <c r="C3527">
        <v>80806</v>
      </c>
    </row>
    <row r="3528" spans="3:3">
      <c r="C3528">
        <v>80829</v>
      </c>
    </row>
    <row r="3529" spans="3:3">
      <c r="C3529">
        <v>80852</v>
      </c>
    </row>
    <row r="3530" spans="3:3">
      <c r="C3530">
        <v>80875</v>
      </c>
    </row>
    <row r="3531" spans="3:3">
      <c r="C3531">
        <v>80898</v>
      </c>
    </row>
    <row r="3532" spans="3:3">
      <c r="C3532">
        <v>80921</v>
      </c>
    </row>
    <row r="3533" spans="3:3">
      <c r="C3533">
        <v>80944</v>
      </c>
    </row>
    <row r="3534" spans="3:3">
      <c r="C3534">
        <v>80967</v>
      </c>
    </row>
    <row r="3535" spans="3:3">
      <c r="C3535">
        <v>80990</v>
      </c>
    </row>
    <row r="3536" spans="3:3">
      <c r="C3536">
        <v>81013</v>
      </c>
    </row>
    <row r="3537" spans="3:3">
      <c r="C3537">
        <v>81037</v>
      </c>
    </row>
    <row r="3538" spans="3:3">
      <c r="C3538">
        <v>81060</v>
      </c>
    </row>
    <row r="3539" spans="3:3">
      <c r="C3539">
        <v>81083</v>
      </c>
    </row>
    <row r="3540" spans="3:3">
      <c r="C3540">
        <v>81106</v>
      </c>
    </row>
    <row r="3541" spans="3:3">
      <c r="C3541">
        <v>81129</v>
      </c>
    </row>
    <row r="3542" spans="3:3">
      <c r="C3542">
        <v>81152</v>
      </c>
    </row>
    <row r="3543" spans="3:3">
      <c r="C3543">
        <v>81175</v>
      </c>
    </row>
    <row r="3544" spans="3:3">
      <c r="C3544">
        <v>81198</v>
      </c>
    </row>
    <row r="3545" spans="3:3">
      <c r="C3545">
        <v>81221</v>
      </c>
    </row>
    <row r="3546" spans="3:3">
      <c r="C3546">
        <v>81244</v>
      </c>
    </row>
    <row r="3547" spans="3:3">
      <c r="C3547">
        <v>81267</v>
      </c>
    </row>
    <row r="3548" spans="3:3">
      <c r="C3548">
        <v>81290</v>
      </c>
    </row>
    <row r="3549" spans="3:3">
      <c r="C3549">
        <v>81313</v>
      </c>
    </row>
    <row r="3550" spans="3:3">
      <c r="C3550">
        <v>81337</v>
      </c>
    </row>
    <row r="3551" spans="3:3">
      <c r="C3551">
        <v>81360</v>
      </c>
    </row>
    <row r="3552" spans="3:3">
      <c r="C3552">
        <v>81383</v>
      </c>
    </row>
    <row r="3553" spans="3:3">
      <c r="C3553">
        <v>81406</v>
      </c>
    </row>
    <row r="3554" spans="3:3">
      <c r="C3554">
        <v>81429</v>
      </c>
    </row>
    <row r="3555" spans="3:3">
      <c r="C3555">
        <v>81452</v>
      </c>
    </row>
    <row r="3556" spans="3:3">
      <c r="C3556">
        <v>81475</v>
      </c>
    </row>
    <row r="3557" spans="3:3">
      <c r="C3557">
        <v>81498</v>
      </c>
    </row>
    <row r="3558" spans="3:3">
      <c r="C3558">
        <v>81521</v>
      </c>
    </row>
    <row r="3559" spans="3:3">
      <c r="C3559">
        <v>81544</v>
      </c>
    </row>
    <row r="3560" spans="3:3">
      <c r="C3560">
        <v>81567</v>
      </c>
    </row>
    <row r="3561" spans="3:3">
      <c r="C3561">
        <v>81590</v>
      </c>
    </row>
    <row r="3562" spans="3:3">
      <c r="C3562">
        <v>81613</v>
      </c>
    </row>
    <row r="3563" spans="3:3">
      <c r="C3563">
        <v>81637</v>
      </c>
    </row>
    <row r="3564" spans="3:3">
      <c r="C3564">
        <v>81660</v>
      </c>
    </row>
    <row r="3565" spans="3:3">
      <c r="C3565">
        <v>81683</v>
      </c>
    </row>
    <row r="3566" spans="3:3">
      <c r="C3566">
        <v>81706</v>
      </c>
    </row>
    <row r="3567" spans="3:3">
      <c r="C3567">
        <v>81729</v>
      </c>
    </row>
    <row r="3568" spans="3:3">
      <c r="C3568">
        <v>81752</v>
      </c>
    </row>
    <row r="3569" spans="3:3">
      <c r="C3569">
        <v>81775</v>
      </c>
    </row>
    <row r="3570" spans="3:3">
      <c r="C3570">
        <v>81798</v>
      </c>
    </row>
    <row r="3571" spans="3:3">
      <c r="C3571">
        <v>81821</v>
      </c>
    </row>
    <row r="3572" spans="3:3">
      <c r="C3572">
        <v>81844</v>
      </c>
    </row>
    <row r="3573" spans="3:3">
      <c r="C3573">
        <v>81867</v>
      </c>
    </row>
    <row r="3574" spans="3:3">
      <c r="C3574">
        <v>81890</v>
      </c>
    </row>
    <row r="3575" spans="3:3">
      <c r="C3575">
        <v>81913</v>
      </c>
    </row>
    <row r="3576" spans="3:3">
      <c r="C3576">
        <v>81937</v>
      </c>
    </row>
    <row r="3577" spans="3:3">
      <c r="C3577">
        <v>81960</v>
      </c>
    </row>
    <row r="3578" spans="3:3">
      <c r="C3578">
        <v>81983</v>
      </c>
    </row>
    <row r="3579" spans="3:3">
      <c r="C3579">
        <v>82006</v>
      </c>
    </row>
    <row r="3580" spans="3:3">
      <c r="C3580">
        <v>82029</v>
      </c>
    </row>
    <row r="3581" spans="3:3">
      <c r="C3581">
        <v>82052</v>
      </c>
    </row>
    <row r="3582" spans="3:3">
      <c r="C3582">
        <v>82075</v>
      </c>
    </row>
    <row r="3583" spans="3:3">
      <c r="C3583">
        <v>82098</v>
      </c>
    </row>
    <row r="3584" spans="3:3">
      <c r="C3584">
        <v>82121</v>
      </c>
    </row>
    <row r="3585" spans="3:3">
      <c r="C3585">
        <v>82144</v>
      </c>
    </row>
    <row r="3586" spans="3:3">
      <c r="C3586">
        <v>82167</v>
      </c>
    </row>
    <row r="3587" spans="3:3">
      <c r="C3587">
        <v>82190</v>
      </c>
    </row>
    <row r="3588" spans="3:3">
      <c r="C3588">
        <v>82213</v>
      </c>
    </row>
    <row r="3589" spans="3:3">
      <c r="C3589">
        <v>82237</v>
      </c>
    </row>
    <row r="3590" spans="3:3">
      <c r="C3590">
        <v>82260</v>
      </c>
    </row>
    <row r="3591" spans="3:3">
      <c r="C3591">
        <v>82283</v>
      </c>
    </row>
    <row r="3592" spans="3:3">
      <c r="C3592">
        <v>82306</v>
      </c>
    </row>
    <row r="3593" spans="3:3">
      <c r="C3593">
        <v>82329</v>
      </c>
    </row>
    <row r="3594" spans="3:3">
      <c r="C3594">
        <v>82352</v>
      </c>
    </row>
    <row r="3595" spans="3:3">
      <c r="C3595">
        <v>82375</v>
      </c>
    </row>
    <row r="3596" spans="3:3">
      <c r="C3596">
        <v>82398</v>
      </c>
    </row>
    <row r="3597" spans="3:3">
      <c r="C3597">
        <v>82421</v>
      </c>
    </row>
    <row r="3598" spans="3:3">
      <c r="C3598">
        <v>82444</v>
      </c>
    </row>
    <row r="3599" spans="3:3">
      <c r="C3599">
        <v>82467</v>
      </c>
    </row>
    <row r="3600" spans="3:3">
      <c r="C3600">
        <v>82490</v>
      </c>
    </row>
    <row r="3601" spans="3:3">
      <c r="C3601">
        <v>82513</v>
      </c>
    </row>
    <row r="3602" spans="3:3">
      <c r="C3602">
        <v>82537</v>
      </c>
    </row>
    <row r="3603" spans="3:3">
      <c r="C3603">
        <v>82560</v>
      </c>
    </row>
    <row r="3604" spans="3:3">
      <c r="C3604">
        <v>82583</v>
      </c>
    </row>
    <row r="3605" spans="3:3">
      <c r="C3605">
        <v>82606</v>
      </c>
    </row>
    <row r="3606" spans="3:3">
      <c r="C3606">
        <v>82629</v>
      </c>
    </row>
    <row r="3607" spans="3:3">
      <c r="C3607">
        <v>82652</v>
      </c>
    </row>
    <row r="3608" spans="3:3">
      <c r="C3608">
        <v>82675</v>
      </c>
    </row>
    <row r="3609" spans="3:3">
      <c r="C3609">
        <v>82698</v>
      </c>
    </row>
    <row r="3610" spans="3:3">
      <c r="C3610">
        <v>82721</v>
      </c>
    </row>
    <row r="3611" spans="3:3">
      <c r="C3611">
        <v>82744</v>
      </c>
    </row>
    <row r="3612" spans="3:3">
      <c r="C3612">
        <v>82767</v>
      </c>
    </row>
    <row r="3613" spans="3:3">
      <c r="C3613">
        <v>82790</v>
      </c>
    </row>
    <row r="3614" spans="3:3">
      <c r="C3614">
        <v>82813</v>
      </c>
    </row>
    <row r="3615" spans="3:3">
      <c r="C3615">
        <v>82837</v>
      </c>
    </row>
    <row r="3616" spans="3:3">
      <c r="C3616">
        <v>82860</v>
      </c>
    </row>
    <row r="3617" spans="3:3">
      <c r="C3617">
        <v>82883</v>
      </c>
    </row>
    <row r="3618" spans="3:3">
      <c r="C3618">
        <v>82906</v>
      </c>
    </row>
    <row r="3619" spans="3:3">
      <c r="C3619">
        <v>82929</v>
      </c>
    </row>
    <row r="3620" spans="3:3">
      <c r="C3620">
        <v>82952</v>
      </c>
    </row>
    <row r="3621" spans="3:3">
      <c r="C3621">
        <v>82975</v>
      </c>
    </row>
    <row r="3622" spans="3:3">
      <c r="C3622">
        <v>82998</v>
      </c>
    </row>
    <row r="3623" spans="3:3">
      <c r="C3623">
        <v>83021</v>
      </c>
    </row>
    <row r="3624" spans="3:3">
      <c r="C3624">
        <v>83044</v>
      </c>
    </row>
    <row r="3625" spans="3:3">
      <c r="C3625">
        <v>83067</v>
      </c>
    </row>
    <row r="3626" spans="3:3">
      <c r="C3626">
        <v>83090</v>
      </c>
    </row>
    <row r="3627" spans="3:3">
      <c r="C3627">
        <v>83113</v>
      </c>
    </row>
    <row r="3628" spans="3:3">
      <c r="C3628">
        <v>83137</v>
      </c>
    </row>
    <row r="3629" spans="3:3">
      <c r="C3629">
        <v>83160</v>
      </c>
    </row>
    <row r="3630" spans="3:3">
      <c r="C3630">
        <v>83183</v>
      </c>
    </row>
    <row r="3631" spans="3:3">
      <c r="C3631">
        <v>83206</v>
      </c>
    </row>
    <row r="3632" spans="3:3">
      <c r="C3632">
        <v>83229</v>
      </c>
    </row>
    <row r="3633" spans="3:3">
      <c r="C3633">
        <v>83252</v>
      </c>
    </row>
    <row r="3634" spans="3:3">
      <c r="C3634">
        <v>83275</v>
      </c>
    </row>
    <row r="3635" spans="3:3">
      <c r="C3635">
        <v>83298</v>
      </c>
    </row>
    <row r="3636" spans="3:3">
      <c r="C3636">
        <v>83321</v>
      </c>
    </row>
    <row r="3637" spans="3:3">
      <c r="C3637">
        <v>83344</v>
      </c>
    </row>
    <row r="3638" spans="3:3">
      <c r="C3638">
        <v>83367</v>
      </c>
    </row>
    <row r="3639" spans="3:3">
      <c r="C3639">
        <v>83390</v>
      </c>
    </row>
    <row r="3640" spans="3:3">
      <c r="C3640">
        <v>83413</v>
      </c>
    </row>
    <row r="3641" spans="3:3">
      <c r="C3641">
        <v>83437</v>
      </c>
    </row>
    <row r="3642" spans="3:3">
      <c r="C3642">
        <v>83460</v>
      </c>
    </row>
    <row r="3643" spans="3:3">
      <c r="C3643">
        <v>83483</v>
      </c>
    </row>
    <row r="3644" spans="3:3">
      <c r="C3644">
        <v>83506</v>
      </c>
    </row>
    <row r="3645" spans="3:3">
      <c r="C3645">
        <v>83529</v>
      </c>
    </row>
    <row r="3646" spans="3:3">
      <c r="C3646">
        <v>83552</v>
      </c>
    </row>
    <row r="3647" spans="3:3">
      <c r="C3647">
        <v>83575</v>
      </c>
    </row>
    <row r="3648" spans="3:3">
      <c r="C3648">
        <v>83598</v>
      </c>
    </row>
    <row r="3649" spans="3:3">
      <c r="C3649">
        <v>83621</v>
      </c>
    </row>
    <row r="3650" spans="3:3">
      <c r="C3650">
        <v>83644</v>
      </c>
    </row>
    <row r="3651" spans="3:3">
      <c r="C3651">
        <v>83667</v>
      </c>
    </row>
    <row r="3652" spans="3:3">
      <c r="C3652">
        <v>83690</v>
      </c>
    </row>
    <row r="3653" spans="3:3">
      <c r="C3653">
        <v>83713</v>
      </c>
    </row>
    <row r="3654" spans="3:3">
      <c r="C3654">
        <v>83737</v>
      </c>
    </row>
    <row r="3655" spans="3:3">
      <c r="C3655">
        <v>83760</v>
      </c>
    </row>
    <row r="3656" spans="3:3">
      <c r="C3656">
        <v>83783</v>
      </c>
    </row>
    <row r="3657" spans="3:3">
      <c r="C3657">
        <v>83806</v>
      </c>
    </row>
    <row r="3658" spans="3:3">
      <c r="C3658">
        <v>83829</v>
      </c>
    </row>
    <row r="3659" spans="3:3">
      <c r="C3659">
        <v>83852</v>
      </c>
    </row>
    <row r="3660" spans="3:3">
      <c r="C3660">
        <v>83875</v>
      </c>
    </row>
    <row r="3661" spans="3:3">
      <c r="C3661">
        <v>83898</v>
      </c>
    </row>
    <row r="3662" spans="3:3">
      <c r="C3662">
        <v>83921</v>
      </c>
    </row>
    <row r="3663" spans="3:3">
      <c r="C3663">
        <v>83944</v>
      </c>
    </row>
    <row r="3664" spans="3:3">
      <c r="C3664">
        <v>83967</v>
      </c>
    </row>
    <row r="3665" spans="3:3">
      <c r="C3665">
        <v>83990</v>
      </c>
    </row>
    <row r="3666" spans="3:3">
      <c r="C3666">
        <v>84013</v>
      </c>
    </row>
    <row r="3667" spans="3:3">
      <c r="C3667">
        <v>84037</v>
      </c>
    </row>
    <row r="3668" spans="3:3">
      <c r="C3668">
        <v>84060</v>
      </c>
    </row>
    <row r="3669" spans="3:3">
      <c r="C3669">
        <v>84083</v>
      </c>
    </row>
    <row r="3670" spans="3:3">
      <c r="C3670">
        <v>84106</v>
      </c>
    </row>
    <row r="3671" spans="3:3">
      <c r="C3671">
        <v>84129</v>
      </c>
    </row>
    <row r="3672" spans="3:3">
      <c r="C3672">
        <v>84152</v>
      </c>
    </row>
    <row r="3673" spans="3:3">
      <c r="C3673">
        <v>84175</v>
      </c>
    </row>
    <row r="3674" spans="3:3">
      <c r="C3674">
        <v>84198</v>
      </c>
    </row>
    <row r="3675" spans="3:3">
      <c r="C3675">
        <v>84221</v>
      </c>
    </row>
    <row r="3676" spans="3:3">
      <c r="C3676">
        <v>84244</v>
      </c>
    </row>
    <row r="3677" spans="3:3">
      <c r="C3677">
        <v>84267</v>
      </c>
    </row>
    <row r="3678" spans="3:3">
      <c r="C3678">
        <v>84290</v>
      </c>
    </row>
    <row r="3679" spans="3:3">
      <c r="C3679">
        <v>84313</v>
      </c>
    </row>
    <row r="3680" spans="3:3">
      <c r="C3680">
        <v>84337</v>
      </c>
    </row>
    <row r="3681" spans="3:3">
      <c r="C3681">
        <v>84360</v>
      </c>
    </row>
    <row r="3682" spans="3:3">
      <c r="C3682">
        <v>84383</v>
      </c>
    </row>
    <row r="3683" spans="3:3">
      <c r="C3683">
        <v>84406</v>
      </c>
    </row>
    <row r="3684" spans="3:3">
      <c r="C3684">
        <v>84429</v>
      </c>
    </row>
    <row r="3685" spans="3:3">
      <c r="C3685">
        <v>84452</v>
      </c>
    </row>
    <row r="3686" spans="3:3">
      <c r="C3686">
        <v>84475</v>
      </c>
    </row>
    <row r="3687" spans="3:3">
      <c r="C3687">
        <v>84498</v>
      </c>
    </row>
    <row r="3688" spans="3:3">
      <c r="C3688">
        <v>84521</v>
      </c>
    </row>
    <row r="3689" spans="3:3">
      <c r="C3689">
        <v>84544</v>
      </c>
    </row>
    <row r="3690" spans="3:3">
      <c r="C3690">
        <v>84567</v>
      </c>
    </row>
    <row r="3691" spans="3:3">
      <c r="C3691">
        <v>84590</v>
      </c>
    </row>
    <row r="3692" spans="3:3">
      <c r="C3692">
        <v>84613</v>
      </c>
    </row>
    <row r="3693" spans="3:3">
      <c r="C3693">
        <v>84637</v>
      </c>
    </row>
    <row r="3694" spans="3:3">
      <c r="C3694">
        <v>84660</v>
      </c>
    </row>
    <row r="3695" spans="3:3">
      <c r="C3695">
        <v>84683</v>
      </c>
    </row>
    <row r="3696" spans="3:3">
      <c r="C3696">
        <v>84706</v>
      </c>
    </row>
    <row r="3697" spans="3:3">
      <c r="C3697">
        <v>84729</v>
      </c>
    </row>
    <row r="3698" spans="3:3">
      <c r="C3698">
        <v>84752</v>
      </c>
    </row>
    <row r="3699" spans="3:3">
      <c r="C3699">
        <v>84775</v>
      </c>
    </row>
    <row r="3700" spans="3:3">
      <c r="C3700">
        <v>84798</v>
      </c>
    </row>
    <row r="3701" spans="3:3">
      <c r="C3701">
        <v>84821</v>
      </c>
    </row>
    <row r="3702" spans="3:3">
      <c r="C3702">
        <v>84844</v>
      </c>
    </row>
    <row r="3703" spans="3:3">
      <c r="C3703">
        <v>84867</v>
      </c>
    </row>
    <row r="3704" spans="3:3">
      <c r="C3704">
        <v>84890</v>
      </c>
    </row>
    <row r="3705" spans="3:3">
      <c r="C3705">
        <v>84913</v>
      </c>
    </row>
    <row r="3706" spans="3:3">
      <c r="C3706">
        <v>84937</v>
      </c>
    </row>
    <row r="3707" spans="3:3">
      <c r="C3707">
        <v>84960</v>
      </c>
    </row>
    <row r="3708" spans="3:3">
      <c r="C3708">
        <v>84983</v>
      </c>
    </row>
    <row r="3709" spans="3:3">
      <c r="C3709">
        <v>85006</v>
      </c>
    </row>
    <row r="3710" spans="3:3">
      <c r="C3710">
        <v>85029</v>
      </c>
    </row>
    <row r="3711" spans="3:3">
      <c r="C3711">
        <v>85052</v>
      </c>
    </row>
    <row r="3712" spans="3:3">
      <c r="C3712">
        <v>85075</v>
      </c>
    </row>
    <row r="3713" spans="3:3">
      <c r="C3713">
        <v>85098</v>
      </c>
    </row>
    <row r="3714" spans="3:3">
      <c r="C3714">
        <v>85121</v>
      </c>
    </row>
    <row r="3715" spans="3:3">
      <c r="C3715">
        <v>85144</v>
      </c>
    </row>
    <row r="3716" spans="3:3">
      <c r="C3716">
        <v>85167</v>
      </c>
    </row>
    <row r="3717" spans="3:3">
      <c r="C3717">
        <v>85190</v>
      </c>
    </row>
    <row r="3718" spans="3:3">
      <c r="C3718">
        <v>85213</v>
      </c>
    </row>
    <row r="3719" spans="3:3">
      <c r="C3719">
        <v>85237</v>
      </c>
    </row>
    <row r="3720" spans="3:3">
      <c r="C3720">
        <v>85260</v>
      </c>
    </row>
    <row r="3721" spans="3:3">
      <c r="C3721">
        <v>85283</v>
      </c>
    </row>
    <row r="3722" spans="3:3">
      <c r="C3722">
        <v>85306</v>
      </c>
    </row>
    <row r="3723" spans="3:3">
      <c r="C3723">
        <v>85329</v>
      </c>
    </row>
    <row r="3724" spans="3:3">
      <c r="C3724">
        <v>85352</v>
      </c>
    </row>
    <row r="3725" spans="3:3">
      <c r="C3725">
        <v>85375</v>
      </c>
    </row>
    <row r="3726" spans="3:3">
      <c r="C3726">
        <v>85398</v>
      </c>
    </row>
    <row r="3727" spans="3:3">
      <c r="C3727">
        <v>85421</v>
      </c>
    </row>
    <row r="3728" spans="3:3">
      <c r="C3728">
        <v>85444</v>
      </c>
    </row>
    <row r="3729" spans="3:3">
      <c r="C3729">
        <v>85467</v>
      </c>
    </row>
    <row r="3730" spans="3:3">
      <c r="C3730">
        <v>85490</v>
      </c>
    </row>
    <row r="3731" spans="3:3">
      <c r="C3731">
        <v>85513</v>
      </c>
    </row>
    <row r="3732" spans="3:3">
      <c r="C3732">
        <v>85537</v>
      </c>
    </row>
    <row r="3733" spans="3:3">
      <c r="C3733">
        <v>85560</v>
      </c>
    </row>
    <row r="3734" spans="3:3">
      <c r="C3734">
        <v>85583</v>
      </c>
    </row>
    <row r="3735" spans="3:3">
      <c r="C3735">
        <v>85606</v>
      </c>
    </row>
    <row r="3736" spans="3:3">
      <c r="C3736">
        <v>85629</v>
      </c>
    </row>
    <row r="3737" spans="3:3">
      <c r="C3737">
        <v>85652</v>
      </c>
    </row>
    <row r="3738" spans="3:3">
      <c r="C3738">
        <v>85675</v>
      </c>
    </row>
    <row r="3739" spans="3:3">
      <c r="C3739">
        <v>85698</v>
      </c>
    </row>
    <row r="3740" spans="3:3">
      <c r="C3740">
        <v>85721</v>
      </c>
    </row>
    <row r="3741" spans="3:3">
      <c r="C3741">
        <v>85744</v>
      </c>
    </row>
    <row r="3742" spans="3:3">
      <c r="C3742">
        <v>85767</v>
      </c>
    </row>
    <row r="3743" spans="3:3">
      <c r="C3743">
        <v>85790</v>
      </c>
    </row>
    <row r="3744" spans="3:3">
      <c r="C3744">
        <v>85813</v>
      </c>
    </row>
    <row r="3745" spans="3:3">
      <c r="C3745">
        <v>85837</v>
      </c>
    </row>
    <row r="3746" spans="3:3">
      <c r="C3746">
        <v>85860</v>
      </c>
    </row>
    <row r="3747" spans="3:3">
      <c r="C3747">
        <v>85883</v>
      </c>
    </row>
    <row r="3748" spans="3:3">
      <c r="C3748">
        <v>85906</v>
      </c>
    </row>
    <row r="3749" spans="3:3">
      <c r="C3749">
        <v>85929</v>
      </c>
    </row>
    <row r="3750" spans="3:3">
      <c r="C3750">
        <v>85952</v>
      </c>
    </row>
    <row r="3751" spans="3:3">
      <c r="C3751">
        <v>85975</v>
      </c>
    </row>
    <row r="3752" spans="3:3">
      <c r="C3752">
        <v>85998</v>
      </c>
    </row>
    <row r="3753" spans="3:3">
      <c r="C3753">
        <v>86021</v>
      </c>
    </row>
    <row r="3754" spans="3:3">
      <c r="C3754">
        <v>86044</v>
      </c>
    </row>
    <row r="3755" spans="3:3">
      <c r="C3755">
        <v>86067</v>
      </c>
    </row>
    <row r="3756" spans="3:3">
      <c r="C3756">
        <v>86090</v>
      </c>
    </row>
    <row r="3757" spans="3:3">
      <c r="C3757">
        <v>86113</v>
      </c>
    </row>
    <row r="3758" spans="3:3">
      <c r="C3758">
        <v>86137</v>
      </c>
    </row>
    <row r="3759" spans="3:3">
      <c r="C3759">
        <v>86160</v>
      </c>
    </row>
    <row r="3760" spans="3:3">
      <c r="C3760">
        <v>86183</v>
      </c>
    </row>
    <row r="3761" spans="3:3">
      <c r="C3761">
        <v>86206</v>
      </c>
    </row>
    <row r="3762" spans="3:3">
      <c r="C3762">
        <v>86229</v>
      </c>
    </row>
    <row r="3763" spans="3:3">
      <c r="C3763">
        <v>86252</v>
      </c>
    </row>
    <row r="3764" spans="3:3">
      <c r="C3764">
        <v>86275</v>
      </c>
    </row>
    <row r="3765" spans="3:3">
      <c r="C3765">
        <v>86298</v>
      </c>
    </row>
    <row r="3766" spans="3:3">
      <c r="C3766">
        <v>86321</v>
      </c>
    </row>
    <row r="3767" spans="3:3">
      <c r="C3767">
        <v>86344</v>
      </c>
    </row>
    <row r="3768" spans="3:3">
      <c r="C3768">
        <v>86367</v>
      </c>
    </row>
    <row r="3769" spans="3:3">
      <c r="C3769">
        <v>86390</v>
      </c>
    </row>
    <row r="3770" spans="3:3">
      <c r="C3770">
        <v>86413</v>
      </c>
    </row>
    <row r="3771" spans="3:3">
      <c r="C3771">
        <v>86437</v>
      </c>
    </row>
    <row r="3772" spans="3:3">
      <c r="C3772">
        <v>86460</v>
      </c>
    </row>
    <row r="3773" spans="3:3">
      <c r="C3773">
        <v>86483</v>
      </c>
    </row>
    <row r="3774" spans="3:3">
      <c r="C3774">
        <v>86506</v>
      </c>
    </row>
    <row r="3775" spans="3:3">
      <c r="C3775">
        <v>86529</v>
      </c>
    </row>
    <row r="3776" spans="3:3">
      <c r="C3776">
        <v>86552</v>
      </c>
    </row>
    <row r="3777" spans="3:3">
      <c r="C3777">
        <v>86575</v>
      </c>
    </row>
    <row r="3778" spans="3:3">
      <c r="C3778">
        <v>86598</v>
      </c>
    </row>
    <row r="3779" spans="3:3">
      <c r="C3779">
        <v>86621</v>
      </c>
    </row>
    <row r="3780" spans="3:3">
      <c r="C3780">
        <v>86644</v>
      </c>
    </row>
    <row r="3781" spans="3:3">
      <c r="C3781">
        <v>86667</v>
      </c>
    </row>
    <row r="3782" spans="3:3">
      <c r="C3782">
        <v>86690</v>
      </c>
    </row>
    <row r="3783" spans="3:3">
      <c r="C3783">
        <v>86713</v>
      </c>
    </row>
    <row r="3784" spans="3:3">
      <c r="C3784">
        <v>86737</v>
      </c>
    </row>
    <row r="3785" spans="3:3">
      <c r="C3785">
        <v>86760</v>
      </c>
    </row>
    <row r="3786" spans="3:3">
      <c r="C3786">
        <v>86783</v>
      </c>
    </row>
    <row r="3787" spans="3:3">
      <c r="C3787">
        <v>86806</v>
      </c>
    </row>
    <row r="3788" spans="3:3">
      <c r="C3788">
        <v>86829</v>
      </c>
    </row>
    <row r="3789" spans="3:3">
      <c r="C3789">
        <v>86852</v>
      </c>
    </row>
    <row r="3790" spans="3:3">
      <c r="C3790">
        <v>86875</v>
      </c>
    </row>
    <row r="3791" spans="3:3">
      <c r="C3791">
        <v>86898</v>
      </c>
    </row>
    <row r="3792" spans="3:3">
      <c r="C3792">
        <v>86921</v>
      </c>
    </row>
    <row r="3793" spans="3:3">
      <c r="C3793">
        <v>86944</v>
      </c>
    </row>
    <row r="3794" spans="3:3">
      <c r="C3794">
        <v>86967</v>
      </c>
    </row>
    <row r="3795" spans="3:3">
      <c r="C3795">
        <v>86990</v>
      </c>
    </row>
    <row r="3796" spans="3:3">
      <c r="C3796">
        <v>87013</v>
      </c>
    </row>
    <row r="3797" spans="3:3">
      <c r="C3797">
        <v>87037</v>
      </c>
    </row>
    <row r="3798" spans="3:3">
      <c r="C3798">
        <v>87060</v>
      </c>
    </row>
    <row r="3799" spans="3:3">
      <c r="C3799">
        <v>87083</v>
      </c>
    </row>
    <row r="3800" spans="3:3">
      <c r="C3800">
        <v>87106</v>
      </c>
    </row>
    <row r="3801" spans="3:3">
      <c r="C3801">
        <v>87129</v>
      </c>
    </row>
    <row r="3802" spans="3:3">
      <c r="C3802">
        <v>87152</v>
      </c>
    </row>
    <row r="3803" spans="3:3">
      <c r="C3803">
        <v>87175</v>
      </c>
    </row>
    <row r="3804" spans="3:3">
      <c r="C3804">
        <v>87198</v>
      </c>
    </row>
    <row r="3805" spans="3:3">
      <c r="C3805">
        <v>87221</v>
      </c>
    </row>
    <row r="3806" spans="3:3">
      <c r="C3806">
        <v>87244</v>
      </c>
    </row>
    <row r="3807" spans="3:3">
      <c r="C3807">
        <v>87267</v>
      </c>
    </row>
    <row r="3808" spans="3:3">
      <c r="C3808">
        <v>87290</v>
      </c>
    </row>
    <row r="3809" spans="3:3">
      <c r="C3809">
        <v>87313</v>
      </c>
    </row>
    <row r="3810" spans="3:3">
      <c r="C3810">
        <v>87337</v>
      </c>
    </row>
    <row r="3811" spans="3:3">
      <c r="C3811">
        <v>87360</v>
      </c>
    </row>
    <row r="3812" spans="3:3">
      <c r="C3812">
        <v>87383</v>
      </c>
    </row>
    <row r="3813" spans="3:3">
      <c r="C3813">
        <v>87406</v>
      </c>
    </row>
    <row r="3814" spans="3:3">
      <c r="C3814">
        <v>87429</v>
      </c>
    </row>
    <row r="3815" spans="3:3">
      <c r="C3815">
        <v>87452</v>
      </c>
    </row>
    <row r="3816" spans="3:3">
      <c r="C3816">
        <v>87475</v>
      </c>
    </row>
    <row r="3817" spans="3:3">
      <c r="C3817">
        <v>87498</v>
      </c>
    </row>
    <row r="3818" spans="3:3">
      <c r="C3818">
        <v>87521</v>
      </c>
    </row>
    <row r="3819" spans="3:3">
      <c r="C3819">
        <v>87544</v>
      </c>
    </row>
    <row r="3820" spans="3:3">
      <c r="C3820">
        <v>87567</v>
      </c>
    </row>
    <row r="3821" spans="3:3">
      <c r="C3821">
        <v>87590</v>
      </c>
    </row>
    <row r="3822" spans="3:3">
      <c r="C3822">
        <v>87613</v>
      </c>
    </row>
    <row r="3823" spans="3:3">
      <c r="C3823">
        <v>87637</v>
      </c>
    </row>
    <row r="3824" spans="3:3">
      <c r="C3824">
        <v>87660</v>
      </c>
    </row>
    <row r="3825" spans="3:3">
      <c r="C3825">
        <v>87683</v>
      </c>
    </row>
    <row r="3826" spans="3:3">
      <c r="C3826">
        <v>87706</v>
      </c>
    </row>
    <row r="3827" spans="3:3">
      <c r="C3827">
        <v>87729</v>
      </c>
    </row>
    <row r="3828" spans="3:3">
      <c r="C3828">
        <v>87752</v>
      </c>
    </row>
    <row r="3829" spans="3:3">
      <c r="C3829">
        <v>87775</v>
      </c>
    </row>
    <row r="3830" spans="3:3">
      <c r="C3830">
        <v>87798</v>
      </c>
    </row>
    <row r="3831" spans="3:3">
      <c r="C3831">
        <v>87821</v>
      </c>
    </row>
    <row r="3832" spans="3:3">
      <c r="C3832">
        <v>87844</v>
      </c>
    </row>
    <row r="3833" spans="3:3">
      <c r="C3833">
        <v>87867</v>
      </c>
    </row>
    <row r="3834" spans="3:3">
      <c r="C3834">
        <v>87890</v>
      </c>
    </row>
    <row r="3835" spans="3:3">
      <c r="C3835">
        <v>87913</v>
      </c>
    </row>
    <row r="3836" spans="3:3">
      <c r="C3836">
        <v>87937</v>
      </c>
    </row>
    <row r="3837" spans="3:3">
      <c r="C3837">
        <v>87960</v>
      </c>
    </row>
    <row r="3838" spans="3:3">
      <c r="C3838">
        <v>87983</v>
      </c>
    </row>
    <row r="3839" spans="3:3">
      <c r="C3839">
        <v>88006</v>
      </c>
    </row>
    <row r="3840" spans="3:3">
      <c r="C3840">
        <v>88029</v>
      </c>
    </row>
    <row r="3841" spans="3:3">
      <c r="C3841">
        <v>88052</v>
      </c>
    </row>
    <row r="3842" spans="3:3">
      <c r="C3842">
        <v>88075</v>
      </c>
    </row>
    <row r="3843" spans="3:3">
      <c r="C3843">
        <v>88098</v>
      </c>
    </row>
    <row r="3844" spans="3:3">
      <c r="C3844">
        <v>88121</v>
      </c>
    </row>
    <row r="3845" spans="3:3">
      <c r="C3845">
        <v>88144</v>
      </c>
    </row>
    <row r="3846" spans="3:3">
      <c r="C3846">
        <v>88167</v>
      </c>
    </row>
    <row r="3847" spans="3:3">
      <c r="C3847">
        <v>88190</v>
      </c>
    </row>
    <row r="3848" spans="3:3">
      <c r="C3848">
        <v>88213</v>
      </c>
    </row>
    <row r="3849" spans="3:3">
      <c r="C3849">
        <v>88237</v>
      </c>
    </row>
    <row r="3850" spans="3:3">
      <c r="C3850">
        <v>88260</v>
      </c>
    </row>
    <row r="3851" spans="3:3">
      <c r="C3851">
        <v>88283</v>
      </c>
    </row>
    <row r="3852" spans="3:3">
      <c r="C3852">
        <v>88306</v>
      </c>
    </row>
    <row r="3853" spans="3:3">
      <c r="C3853">
        <v>88329</v>
      </c>
    </row>
    <row r="3854" spans="3:3">
      <c r="C3854">
        <v>88352</v>
      </c>
    </row>
    <row r="3855" spans="3:3">
      <c r="C3855">
        <v>88375</v>
      </c>
    </row>
    <row r="3856" spans="3:3">
      <c r="C3856">
        <v>88398</v>
      </c>
    </row>
    <row r="3857" spans="3:3">
      <c r="C3857">
        <v>88421</v>
      </c>
    </row>
    <row r="3858" spans="3:3">
      <c r="C3858">
        <v>88444</v>
      </c>
    </row>
    <row r="3859" spans="3:3">
      <c r="C3859">
        <v>88467</v>
      </c>
    </row>
    <row r="3860" spans="3:3">
      <c r="C3860">
        <v>88490</v>
      </c>
    </row>
    <row r="3861" spans="3:3">
      <c r="C3861">
        <v>88513</v>
      </c>
    </row>
    <row r="3862" spans="3:3">
      <c r="C3862">
        <v>88537</v>
      </c>
    </row>
    <row r="3863" spans="3:3">
      <c r="C3863">
        <v>88560</v>
      </c>
    </row>
    <row r="3864" spans="3:3">
      <c r="C3864">
        <v>88583</v>
      </c>
    </row>
    <row r="3865" spans="3:3">
      <c r="C3865">
        <v>88606</v>
      </c>
    </row>
    <row r="3866" spans="3:3">
      <c r="C3866">
        <v>88629</v>
      </c>
    </row>
    <row r="3867" spans="3:3">
      <c r="C3867">
        <v>88652</v>
      </c>
    </row>
    <row r="3868" spans="3:3">
      <c r="C3868">
        <v>88675</v>
      </c>
    </row>
    <row r="3869" spans="3:3">
      <c r="C3869">
        <v>88698</v>
      </c>
    </row>
    <row r="3870" spans="3:3">
      <c r="C3870">
        <v>88721</v>
      </c>
    </row>
    <row r="3871" spans="3:3">
      <c r="C3871">
        <v>88744</v>
      </c>
    </row>
    <row r="3872" spans="3:3">
      <c r="C3872">
        <v>88767</v>
      </c>
    </row>
    <row r="3873" spans="3:3">
      <c r="C3873">
        <v>88790</v>
      </c>
    </row>
    <row r="3874" spans="3:3">
      <c r="C3874">
        <v>88813</v>
      </c>
    </row>
    <row r="3875" spans="3:3">
      <c r="C3875">
        <v>88837</v>
      </c>
    </row>
    <row r="3876" spans="3:3">
      <c r="C3876">
        <v>88860</v>
      </c>
    </row>
    <row r="3877" spans="3:3">
      <c r="C3877">
        <v>88883</v>
      </c>
    </row>
    <row r="3878" spans="3:3">
      <c r="C3878">
        <v>88906</v>
      </c>
    </row>
    <row r="3879" spans="3:3">
      <c r="C3879">
        <v>88929</v>
      </c>
    </row>
    <row r="3880" spans="3:3">
      <c r="C3880">
        <v>88952</v>
      </c>
    </row>
    <row r="3881" spans="3:3">
      <c r="C3881">
        <v>88975</v>
      </c>
    </row>
    <row r="3882" spans="3:3">
      <c r="C3882">
        <v>88998</v>
      </c>
    </row>
    <row r="3883" spans="3:3">
      <c r="C3883">
        <v>89021</v>
      </c>
    </row>
    <row r="3884" spans="3:3">
      <c r="C3884">
        <v>89044</v>
      </c>
    </row>
    <row r="3885" spans="3:3">
      <c r="C3885">
        <v>89067</v>
      </c>
    </row>
    <row r="3886" spans="3:3">
      <c r="C3886">
        <v>89090</v>
      </c>
    </row>
    <row r="3887" spans="3:3">
      <c r="C3887">
        <v>89113</v>
      </c>
    </row>
    <row r="3888" spans="3:3">
      <c r="C3888">
        <v>89137</v>
      </c>
    </row>
    <row r="3889" spans="3:3">
      <c r="C3889">
        <v>89160</v>
      </c>
    </row>
    <row r="3890" spans="3:3">
      <c r="C3890">
        <v>89183</v>
      </c>
    </row>
    <row r="3891" spans="3:3">
      <c r="C3891">
        <v>89206</v>
      </c>
    </row>
    <row r="3892" spans="3:3">
      <c r="C3892">
        <v>89229</v>
      </c>
    </row>
    <row r="3893" spans="3:3">
      <c r="C3893">
        <v>89252</v>
      </c>
    </row>
    <row r="3894" spans="3:3">
      <c r="C3894">
        <v>89275</v>
      </c>
    </row>
    <row r="3895" spans="3:3">
      <c r="C3895">
        <v>89298</v>
      </c>
    </row>
    <row r="3896" spans="3:3">
      <c r="C3896">
        <v>89321</v>
      </c>
    </row>
    <row r="3897" spans="3:3">
      <c r="C3897">
        <v>89344</v>
      </c>
    </row>
    <row r="3898" spans="3:3">
      <c r="C3898">
        <v>89367</v>
      </c>
    </row>
    <row r="3899" spans="3:3">
      <c r="C3899">
        <v>89390</v>
      </c>
    </row>
    <row r="3900" spans="3:3">
      <c r="C3900">
        <v>89413</v>
      </c>
    </row>
    <row r="3901" spans="3:3">
      <c r="C3901">
        <v>89437</v>
      </c>
    </row>
    <row r="3902" spans="3:3">
      <c r="C3902">
        <v>89460</v>
      </c>
    </row>
    <row r="3903" spans="3:3">
      <c r="C3903">
        <v>89483</v>
      </c>
    </row>
    <row r="3904" spans="3:3">
      <c r="C3904">
        <v>89506</v>
      </c>
    </row>
    <row r="3905" spans="3:3">
      <c r="C3905">
        <v>89529</v>
      </c>
    </row>
    <row r="3906" spans="3:3">
      <c r="C3906">
        <v>89552</v>
      </c>
    </row>
    <row r="3907" spans="3:3">
      <c r="C3907">
        <v>89575</v>
      </c>
    </row>
    <row r="3908" spans="3:3">
      <c r="C3908">
        <v>89598</v>
      </c>
    </row>
    <row r="3909" spans="3:3">
      <c r="C3909">
        <v>89621</v>
      </c>
    </row>
    <row r="3910" spans="3:3">
      <c r="C3910">
        <v>89644</v>
      </c>
    </row>
    <row r="3911" spans="3:3">
      <c r="C3911">
        <v>89667</v>
      </c>
    </row>
    <row r="3912" spans="3:3">
      <c r="C3912">
        <v>89690</v>
      </c>
    </row>
    <row r="3913" spans="3:3">
      <c r="C3913">
        <v>89713</v>
      </c>
    </row>
    <row r="3914" spans="3:3">
      <c r="C3914">
        <v>89737</v>
      </c>
    </row>
    <row r="3915" spans="3:3">
      <c r="C3915">
        <v>89760</v>
      </c>
    </row>
    <row r="3916" spans="3:3">
      <c r="C3916">
        <v>89783</v>
      </c>
    </row>
    <row r="3917" spans="3:3">
      <c r="C3917">
        <v>89806</v>
      </c>
    </row>
    <row r="3918" spans="3:3">
      <c r="C3918">
        <v>89829</v>
      </c>
    </row>
    <row r="3919" spans="3:3">
      <c r="C3919">
        <v>89852</v>
      </c>
    </row>
    <row r="3920" spans="3:3">
      <c r="C3920">
        <v>89875</v>
      </c>
    </row>
    <row r="3921" spans="3:3">
      <c r="C3921">
        <v>89898</v>
      </c>
    </row>
    <row r="3922" spans="3:3">
      <c r="C3922">
        <v>89921</v>
      </c>
    </row>
    <row r="3923" spans="3:3">
      <c r="C3923">
        <v>89944</v>
      </c>
    </row>
    <row r="3924" spans="3:3">
      <c r="C3924">
        <v>89967</v>
      </c>
    </row>
    <row r="3925" spans="3:3">
      <c r="C3925">
        <v>89990</v>
      </c>
    </row>
    <row r="3926" spans="3:3">
      <c r="C3926">
        <v>90013</v>
      </c>
    </row>
    <row r="3927" spans="3:3">
      <c r="C3927">
        <v>90037</v>
      </c>
    </row>
    <row r="3928" spans="3:3">
      <c r="C3928">
        <v>90060</v>
      </c>
    </row>
    <row r="3929" spans="3:3">
      <c r="C3929">
        <v>90083</v>
      </c>
    </row>
    <row r="3930" spans="3:3">
      <c r="C3930">
        <v>90106</v>
      </c>
    </row>
    <row r="3931" spans="3:3">
      <c r="C3931">
        <v>90129</v>
      </c>
    </row>
    <row r="3932" spans="3:3">
      <c r="C3932">
        <v>90152</v>
      </c>
    </row>
    <row r="3933" spans="3:3">
      <c r="C3933">
        <v>90175</v>
      </c>
    </row>
    <row r="3934" spans="3:3">
      <c r="C3934">
        <v>90198</v>
      </c>
    </row>
    <row r="3935" spans="3:3">
      <c r="C3935">
        <v>90221</v>
      </c>
    </row>
    <row r="3936" spans="3:3">
      <c r="C3936">
        <v>90244</v>
      </c>
    </row>
    <row r="3937" spans="3:3">
      <c r="C3937">
        <v>90267</v>
      </c>
    </row>
    <row r="3938" spans="3:3">
      <c r="C3938">
        <v>90290</v>
      </c>
    </row>
    <row r="3939" spans="3:3">
      <c r="C3939">
        <v>90313</v>
      </c>
    </row>
    <row r="3940" spans="3:3">
      <c r="C3940">
        <v>90337</v>
      </c>
    </row>
    <row r="3941" spans="3:3">
      <c r="C3941">
        <v>90360</v>
      </c>
    </row>
    <row r="3942" spans="3:3">
      <c r="C3942">
        <v>90383</v>
      </c>
    </row>
    <row r="3943" spans="3:3">
      <c r="C3943">
        <v>90406</v>
      </c>
    </row>
    <row r="3944" spans="3:3">
      <c r="C3944">
        <v>90429</v>
      </c>
    </row>
    <row r="3945" spans="3:3">
      <c r="C3945">
        <v>90452</v>
      </c>
    </row>
    <row r="3946" spans="3:3">
      <c r="C3946">
        <v>90475</v>
      </c>
    </row>
    <row r="3947" spans="3:3">
      <c r="C3947">
        <v>90498</v>
      </c>
    </row>
    <row r="3948" spans="3:3">
      <c r="C3948">
        <v>90521</v>
      </c>
    </row>
    <row r="3949" spans="3:3">
      <c r="C3949">
        <v>90544</v>
      </c>
    </row>
    <row r="3950" spans="3:3">
      <c r="C3950">
        <v>90567</v>
      </c>
    </row>
    <row r="3951" spans="3:3">
      <c r="C3951">
        <v>90590</v>
      </c>
    </row>
    <row r="3952" spans="3:3">
      <c r="C3952">
        <v>90613</v>
      </c>
    </row>
    <row r="3953" spans="3:3">
      <c r="C3953">
        <v>90637</v>
      </c>
    </row>
    <row r="3954" spans="3:3">
      <c r="C3954">
        <v>90660</v>
      </c>
    </row>
    <row r="3955" spans="3:3">
      <c r="C3955">
        <v>90683</v>
      </c>
    </row>
    <row r="3956" spans="3:3">
      <c r="C3956">
        <v>90706</v>
      </c>
    </row>
    <row r="3957" spans="3:3">
      <c r="C3957">
        <v>90729</v>
      </c>
    </row>
    <row r="3958" spans="3:3">
      <c r="C3958">
        <v>90752</v>
      </c>
    </row>
    <row r="3959" spans="3:3">
      <c r="C3959">
        <v>90775</v>
      </c>
    </row>
    <row r="3960" spans="3:3">
      <c r="C3960">
        <v>90798</v>
      </c>
    </row>
    <row r="3961" spans="3:3">
      <c r="C3961">
        <v>90821</v>
      </c>
    </row>
    <row r="3962" spans="3:3">
      <c r="C3962">
        <v>90844</v>
      </c>
    </row>
    <row r="3963" spans="3:3">
      <c r="C3963">
        <v>90867</v>
      </c>
    </row>
    <row r="3964" spans="3:3">
      <c r="C3964">
        <v>90890</v>
      </c>
    </row>
    <row r="3965" spans="3:3">
      <c r="C3965">
        <v>90913</v>
      </c>
    </row>
    <row r="3966" spans="3:3">
      <c r="C3966">
        <v>90937</v>
      </c>
    </row>
    <row r="3967" spans="3:3">
      <c r="C3967">
        <v>90960</v>
      </c>
    </row>
    <row r="3968" spans="3:3">
      <c r="C3968">
        <v>90983</v>
      </c>
    </row>
    <row r="3969" spans="3:3">
      <c r="C3969">
        <v>91006</v>
      </c>
    </row>
    <row r="3970" spans="3:3">
      <c r="C3970">
        <v>91029</v>
      </c>
    </row>
    <row r="3971" spans="3:3">
      <c r="C3971">
        <v>91052</v>
      </c>
    </row>
    <row r="3972" spans="3:3">
      <c r="C3972">
        <v>91075</v>
      </c>
    </row>
    <row r="3973" spans="3:3">
      <c r="C3973">
        <v>91098</v>
      </c>
    </row>
    <row r="3974" spans="3:3">
      <c r="C3974">
        <v>91121</v>
      </c>
    </row>
    <row r="3975" spans="3:3">
      <c r="C3975">
        <v>91144</v>
      </c>
    </row>
    <row r="3976" spans="3:3">
      <c r="C3976">
        <v>91167</v>
      </c>
    </row>
    <row r="3977" spans="3:3">
      <c r="C3977">
        <v>91190</v>
      </c>
    </row>
    <row r="3978" spans="3:3">
      <c r="C3978">
        <v>91213</v>
      </c>
    </row>
    <row r="3979" spans="3:3">
      <c r="C3979">
        <v>91237</v>
      </c>
    </row>
    <row r="3980" spans="3:3">
      <c r="C3980">
        <v>91260</v>
      </c>
    </row>
    <row r="3981" spans="3:3">
      <c r="C3981">
        <v>91283</v>
      </c>
    </row>
    <row r="3982" spans="3:3">
      <c r="C3982">
        <v>91306</v>
      </c>
    </row>
    <row r="3983" spans="3:3">
      <c r="C3983">
        <v>91329</v>
      </c>
    </row>
    <row r="3984" spans="3:3">
      <c r="C3984">
        <v>91352</v>
      </c>
    </row>
    <row r="3985" spans="3:3">
      <c r="C3985">
        <v>91375</v>
      </c>
    </row>
    <row r="3986" spans="3:3">
      <c r="C3986">
        <v>91398</v>
      </c>
    </row>
    <row r="3987" spans="3:3">
      <c r="C3987">
        <v>91421</v>
      </c>
    </row>
    <row r="3988" spans="3:3">
      <c r="C3988">
        <v>91444</v>
      </c>
    </row>
    <row r="3989" spans="3:3">
      <c r="C3989">
        <v>91467</v>
      </c>
    </row>
    <row r="3990" spans="3:3">
      <c r="C3990">
        <v>91490</v>
      </c>
    </row>
    <row r="3991" spans="3:3">
      <c r="C3991">
        <v>91513</v>
      </c>
    </row>
    <row r="3992" spans="3:3">
      <c r="C3992">
        <v>91537</v>
      </c>
    </row>
    <row r="3993" spans="3:3">
      <c r="C3993">
        <v>91560</v>
      </c>
    </row>
    <row r="3994" spans="3:3">
      <c r="C3994">
        <v>91583</v>
      </c>
    </row>
    <row r="3995" spans="3:3">
      <c r="C3995">
        <v>91606</v>
      </c>
    </row>
    <row r="3996" spans="3:3">
      <c r="C3996">
        <v>91629</v>
      </c>
    </row>
    <row r="3997" spans="3:3">
      <c r="C3997">
        <v>91652</v>
      </c>
    </row>
    <row r="3998" spans="3:3">
      <c r="C3998">
        <v>91675</v>
      </c>
    </row>
    <row r="3999" spans="3:3">
      <c r="C3999">
        <v>91698</v>
      </c>
    </row>
    <row r="4000" spans="3:3">
      <c r="C4000">
        <v>91721</v>
      </c>
    </row>
    <row r="4001" spans="3:3">
      <c r="C4001">
        <v>91744</v>
      </c>
    </row>
    <row r="4002" spans="3:3">
      <c r="C4002">
        <v>91767</v>
      </c>
    </row>
    <row r="4003" spans="3:3">
      <c r="C4003">
        <v>91790</v>
      </c>
    </row>
    <row r="4004" spans="3:3">
      <c r="C4004">
        <v>91813</v>
      </c>
    </row>
    <row r="4005" spans="3:3">
      <c r="C4005">
        <v>91837</v>
      </c>
    </row>
    <row r="4006" spans="3:3">
      <c r="C4006">
        <v>91860</v>
      </c>
    </row>
    <row r="4007" spans="3:3">
      <c r="C4007">
        <v>91883</v>
      </c>
    </row>
    <row r="4008" spans="3:3">
      <c r="C4008">
        <v>91906</v>
      </c>
    </row>
    <row r="4009" spans="3:3">
      <c r="C4009">
        <v>91929</v>
      </c>
    </row>
    <row r="4010" spans="3:3">
      <c r="C4010">
        <v>91952</v>
      </c>
    </row>
    <row r="4011" spans="3:3">
      <c r="C4011">
        <v>91975</v>
      </c>
    </row>
    <row r="4012" spans="3:3">
      <c r="C4012">
        <v>91998</v>
      </c>
    </row>
    <row r="4013" spans="3:3">
      <c r="C4013">
        <v>92021</v>
      </c>
    </row>
    <row r="4014" spans="3:3">
      <c r="C4014">
        <v>92044</v>
      </c>
    </row>
    <row r="4015" spans="3:3">
      <c r="C4015">
        <v>92067</v>
      </c>
    </row>
    <row r="4016" spans="3:3">
      <c r="C4016">
        <v>92090</v>
      </c>
    </row>
    <row r="4017" spans="3:3">
      <c r="C4017">
        <v>92113</v>
      </c>
    </row>
    <row r="4018" spans="3:3">
      <c r="C4018">
        <v>92137</v>
      </c>
    </row>
    <row r="4019" spans="3:3">
      <c r="C4019">
        <v>92160</v>
      </c>
    </row>
    <row r="4020" spans="3:3">
      <c r="C4020">
        <v>92183</v>
      </c>
    </row>
    <row r="4021" spans="3:3">
      <c r="C4021">
        <v>92206</v>
      </c>
    </row>
    <row r="4022" spans="3:3">
      <c r="C4022">
        <v>92229</v>
      </c>
    </row>
    <row r="4023" spans="3:3">
      <c r="C4023">
        <v>92252</v>
      </c>
    </row>
    <row r="4024" spans="3:3">
      <c r="C4024">
        <v>92275</v>
      </c>
    </row>
    <row r="4025" spans="3:3">
      <c r="C4025">
        <v>92298</v>
      </c>
    </row>
    <row r="4026" spans="3:3">
      <c r="C4026">
        <v>92321</v>
      </c>
    </row>
    <row r="4027" spans="3:3">
      <c r="C4027">
        <v>92344</v>
      </c>
    </row>
    <row r="4028" spans="3:3">
      <c r="C4028">
        <v>92367</v>
      </c>
    </row>
    <row r="4029" spans="3:3">
      <c r="C4029">
        <v>92390</v>
      </c>
    </row>
    <row r="4030" spans="3:3">
      <c r="C4030">
        <v>92413</v>
      </c>
    </row>
    <row r="4031" spans="3:3">
      <c r="C4031">
        <v>92437</v>
      </c>
    </row>
    <row r="4032" spans="3:3">
      <c r="C4032">
        <v>92460</v>
      </c>
    </row>
    <row r="4033" spans="3:3">
      <c r="C4033">
        <v>92483</v>
      </c>
    </row>
    <row r="4034" spans="3:3">
      <c r="C4034">
        <v>92506</v>
      </c>
    </row>
    <row r="4035" spans="3:3">
      <c r="C4035">
        <v>92529</v>
      </c>
    </row>
    <row r="4036" spans="3:3">
      <c r="C4036">
        <v>92552</v>
      </c>
    </row>
    <row r="4037" spans="3:3">
      <c r="C4037">
        <v>92575</v>
      </c>
    </row>
    <row r="4038" spans="3:3">
      <c r="C4038">
        <v>92598</v>
      </c>
    </row>
    <row r="4039" spans="3:3">
      <c r="C4039">
        <v>92621</v>
      </c>
    </row>
    <row r="4040" spans="3:3">
      <c r="C4040">
        <v>92644</v>
      </c>
    </row>
    <row r="4041" spans="3:3">
      <c r="C4041">
        <v>92667</v>
      </c>
    </row>
    <row r="4042" spans="3:3">
      <c r="C4042">
        <v>92690</v>
      </c>
    </row>
    <row r="4043" spans="3:3">
      <c r="C4043">
        <v>92713</v>
      </c>
    </row>
    <row r="4044" spans="3:3">
      <c r="C4044">
        <v>92737</v>
      </c>
    </row>
    <row r="4045" spans="3:3">
      <c r="C4045">
        <v>92760</v>
      </c>
    </row>
    <row r="4046" spans="3:3">
      <c r="C4046">
        <v>92783</v>
      </c>
    </row>
    <row r="4047" spans="3:3">
      <c r="C4047">
        <v>92806</v>
      </c>
    </row>
    <row r="4048" spans="3:3">
      <c r="C4048">
        <v>92829</v>
      </c>
    </row>
    <row r="4049" spans="3:3">
      <c r="C4049">
        <v>92852</v>
      </c>
    </row>
    <row r="4050" spans="3:3">
      <c r="C4050">
        <v>92875</v>
      </c>
    </row>
    <row r="4051" spans="3:3">
      <c r="C4051">
        <v>92898</v>
      </c>
    </row>
    <row r="4052" spans="3:3">
      <c r="C4052">
        <v>92921</v>
      </c>
    </row>
    <row r="4053" spans="3:3">
      <c r="C4053">
        <v>92944</v>
      </c>
    </row>
    <row r="4054" spans="3:3">
      <c r="C4054">
        <v>92967</v>
      </c>
    </row>
    <row r="4055" spans="3:3">
      <c r="C4055">
        <v>92990</v>
      </c>
    </row>
    <row r="4056" spans="3:3">
      <c r="C4056">
        <v>93013</v>
      </c>
    </row>
    <row r="4057" spans="3:3">
      <c r="C4057">
        <v>93037</v>
      </c>
    </row>
    <row r="4058" spans="3:3">
      <c r="C4058">
        <v>93060</v>
      </c>
    </row>
    <row r="4059" spans="3:3">
      <c r="C4059">
        <v>93083</v>
      </c>
    </row>
    <row r="4060" spans="3:3">
      <c r="C4060">
        <v>93106</v>
      </c>
    </row>
    <row r="4061" spans="3:3">
      <c r="C4061">
        <v>93129</v>
      </c>
    </row>
    <row r="4062" spans="3:3">
      <c r="C4062">
        <v>93152</v>
      </c>
    </row>
    <row r="4063" spans="3:3">
      <c r="C4063">
        <v>93175</v>
      </c>
    </row>
    <row r="4064" spans="3:3">
      <c r="C4064">
        <v>93198</v>
      </c>
    </row>
    <row r="4065" spans="3:3">
      <c r="C4065">
        <v>93221</v>
      </c>
    </row>
    <row r="4066" spans="3:3">
      <c r="C4066">
        <v>93244</v>
      </c>
    </row>
    <row r="4067" spans="3:3">
      <c r="C4067">
        <v>93267</v>
      </c>
    </row>
    <row r="4068" spans="3:3">
      <c r="C4068">
        <v>93290</v>
      </c>
    </row>
    <row r="4069" spans="3:3">
      <c r="C4069">
        <v>93313</v>
      </c>
    </row>
    <row r="4070" spans="3:3">
      <c r="C4070">
        <v>93337</v>
      </c>
    </row>
    <row r="4071" spans="3:3">
      <c r="C4071">
        <v>93360</v>
      </c>
    </row>
    <row r="4072" spans="3:3">
      <c r="C4072">
        <v>93383</v>
      </c>
    </row>
    <row r="4073" spans="3:3">
      <c r="C4073">
        <v>93406</v>
      </c>
    </row>
    <row r="4074" spans="3:3">
      <c r="C4074">
        <v>93429</v>
      </c>
    </row>
    <row r="4075" spans="3:3">
      <c r="C4075">
        <v>93452</v>
      </c>
    </row>
    <row r="4076" spans="3:3">
      <c r="C4076">
        <v>93475</v>
      </c>
    </row>
    <row r="4077" spans="3:3">
      <c r="C4077">
        <v>93498</v>
      </c>
    </row>
    <row r="4078" spans="3:3">
      <c r="C4078">
        <v>93521</v>
      </c>
    </row>
    <row r="4079" spans="3:3">
      <c r="C4079">
        <v>93544</v>
      </c>
    </row>
    <row r="4080" spans="3:3">
      <c r="C4080">
        <v>93567</v>
      </c>
    </row>
    <row r="4081" spans="3:3">
      <c r="C4081">
        <v>93590</v>
      </c>
    </row>
    <row r="4082" spans="3:3">
      <c r="C4082">
        <v>93613</v>
      </c>
    </row>
    <row r="4083" spans="3:3">
      <c r="C4083">
        <v>93637</v>
      </c>
    </row>
    <row r="4084" spans="3:3">
      <c r="C4084">
        <v>93660</v>
      </c>
    </row>
    <row r="4085" spans="3:3">
      <c r="C4085">
        <v>93683</v>
      </c>
    </row>
    <row r="4086" spans="3:3">
      <c r="C4086">
        <v>93706</v>
      </c>
    </row>
    <row r="4087" spans="3:3">
      <c r="C4087">
        <v>93729</v>
      </c>
    </row>
    <row r="4088" spans="3:3">
      <c r="C4088">
        <v>93752</v>
      </c>
    </row>
    <row r="4089" spans="3:3">
      <c r="C4089">
        <v>93775</v>
      </c>
    </row>
    <row r="4090" spans="3:3">
      <c r="C4090">
        <v>93798</v>
      </c>
    </row>
    <row r="4091" spans="3:3">
      <c r="C4091">
        <v>93821</v>
      </c>
    </row>
    <row r="4092" spans="3:3">
      <c r="C4092">
        <v>93844</v>
      </c>
    </row>
    <row r="4093" spans="3:3">
      <c r="C4093">
        <v>93867</v>
      </c>
    </row>
    <row r="4094" spans="3:3">
      <c r="C4094">
        <v>93890</v>
      </c>
    </row>
    <row r="4095" spans="3:3">
      <c r="C4095">
        <v>93913</v>
      </c>
    </row>
    <row r="4096" spans="3:3">
      <c r="C4096">
        <v>93937</v>
      </c>
    </row>
    <row r="4097" spans="3:3">
      <c r="C4097">
        <v>93960</v>
      </c>
    </row>
    <row r="4098" spans="3:3">
      <c r="C4098">
        <v>93983</v>
      </c>
    </row>
    <row r="4099" spans="3:3">
      <c r="C4099">
        <v>94006</v>
      </c>
    </row>
    <row r="4100" spans="3:3">
      <c r="C4100">
        <v>94029</v>
      </c>
    </row>
    <row r="4101" spans="3:3">
      <c r="C4101">
        <v>94052</v>
      </c>
    </row>
    <row r="4102" spans="3:3">
      <c r="C4102">
        <v>94075</v>
      </c>
    </row>
    <row r="4103" spans="3:3">
      <c r="C4103">
        <v>94098</v>
      </c>
    </row>
    <row r="4104" spans="3:3">
      <c r="C4104">
        <v>94121</v>
      </c>
    </row>
    <row r="4105" spans="3:3">
      <c r="C4105">
        <v>94144</v>
      </c>
    </row>
    <row r="4106" spans="3:3">
      <c r="C4106">
        <v>94167</v>
      </c>
    </row>
    <row r="4107" spans="3:3">
      <c r="C4107">
        <v>94190</v>
      </c>
    </row>
    <row r="4108" spans="3:3">
      <c r="C4108">
        <v>94213</v>
      </c>
    </row>
    <row r="4109" spans="3:3">
      <c r="C4109">
        <v>94237</v>
      </c>
    </row>
    <row r="4110" spans="3:3">
      <c r="C4110">
        <v>94260</v>
      </c>
    </row>
    <row r="4111" spans="3:3">
      <c r="C4111">
        <v>94283</v>
      </c>
    </row>
    <row r="4112" spans="3:3">
      <c r="C4112">
        <v>94306</v>
      </c>
    </row>
    <row r="4113" spans="3:3">
      <c r="C4113">
        <v>94329</v>
      </c>
    </row>
    <row r="4114" spans="3:3">
      <c r="C4114">
        <v>94352</v>
      </c>
    </row>
    <row r="4115" spans="3:3">
      <c r="C4115">
        <v>94375</v>
      </c>
    </row>
    <row r="4116" spans="3:3">
      <c r="C4116">
        <v>94398</v>
      </c>
    </row>
    <row r="4117" spans="3:3">
      <c r="C4117">
        <v>94421</v>
      </c>
    </row>
    <row r="4118" spans="3:3">
      <c r="C4118">
        <v>94444</v>
      </c>
    </row>
    <row r="4119" spans="3:3">
      <c r="C4119">
        <v>94467</v>
      </c>
    </row>
    <row r="4120" spans="3:3">
      <c r="C4120">
        <v>94490</v>
      </c>
    </row>
    <row r="4121" spans="3:3">
      <c r="C4121">
        <v>94513</v>
      </c>
    </row>
    <row r="4122" spans="3:3">
      <c r="C4122">
        <v>94537</v>
      </c>
    </row>
    <row r="4123" spans="3:3">
      <c r="C4123">
        <v>94560</v>
      </c>
    </row>
    <row r="4124" spans="3:3">
      <c r="C4124">
        <v>94583</v>
      </c>
    </row>
    <row r="4125" spans="3:3">
      <c r="C4125">
        <v>94606</v>
      </c>
    </row>
    <row r="4126" spans="3:3">
      <c r="C4126">
        <v>94629</v>
      </c>
    </row>
    <row r="4127" spans="3:3">
      <c r="C4127">
        <v>94652</v>
      </c>
    </row>
    <row r="4128" spans="3:3">
      <c r="C4128">
        <v>94675</v>
      </c>
    </row>
    <row r="4129" spans="3:3">
      <c r="C4129">
        <v>94698</v>
      </c>
    </row>
    <row r="4130" spans="3:3">
      <c r="C4130">
        <v>94721</v>
      </c>
    </row>
    <row r="4131" spans="3:3">
      <c r="C4131">
        <v>94744</v>
      </c>
    </row>
    <row r="4132" spans="3:3">
      <c r="C4132">
        <v>94767</v>
      </c>
    </row>
    <row r="4133" spans="3:3">
      <c r="C4133">
        <v>94790</v>
      </c>
    </row>
    <row r="4134" spans="3:3">
      <c r="C4134">
        <v>94813</v>
      </c>
    </row>
    <row r="4135" spans="3:3">
      <c r="C4135">
        <v>94837</v>
      </c>
    </row>
    <row r="4136" spans="3:3">
      <c r="C4136">
        <v>94860</v>
      </c>
    </row>
    <row r="4137" spans="3:3">
      <c r="C4137">
        <v>94883</v>
      </c>
    </row>
    <row r="4138" spans="3:3">
      <c r="C4138">
        <v>94906</v>
      </c>
    </row>
    <row r="4139" spans="3:3">
      <c r="C4139">
        <v>94929</v>
      </c>
    </row>
    <row r="4140" spans="3:3">
      <c r="C4140">
        <v>94952</v>
      </c>
    </row>
    <row r="4141" spans="3:3">
      <c r="C4141">
        <v>94975</v>
      </c>
    </row>
    <row r="4142" spans="3:3">
      <c r="C4142">
        <v>94998</v>
      </c>
    </row>
    <row r="4143" spans="3:3">
      <c r="C4143">
        <v>95021</v>
      </c>
    </row>
    <row r="4144" spans="3:3">
      <c r="C4144">
        <v>95044</v>
      </c>
    </row>
    <row r="4145" spans="3:3">
      <c r="C4145">
        <v>95067</v>
      </c>
    </row>
    <row r="4146" spans="3:3">
      <c r="C4146">
        <v>95090</v>
      </c>
    </row>
    <row r="4147" spans="3:3">
      <c r="C4147">
        <v>95113</v>
      </c>
    </row>
    <row r="4148" spans="3:3">
      <c r="C4148">
        <v>95137</v>
      </c>
    </row>
    <row r="4149" spans="3:3">
      <c r="C4149">
        <v>95160</v>
      </c>
    </row>
    <row r="4150" spans="3:3">
      <c r="C4150">
        <v>95183</v>
      </c>
    </row>
    <row r="4151" spans="3:3">
      <c r="C4151">
        <v>95206</v>
      </c>
    </row>
    <row r="4152" spans="3:3">
      <c r="C4152">
        <v>95229</v>
      </c>
    </row>
    <row r="4153" spans="3:3">
      <c r="C4153">
        <v>95252</v>
      </c>
    </row>
    <row r="4154" spans="3:3">
      <c r="C4154">
        <v>95275</v>
      </c>
    </row>
    <row r="4155" spans="3:3">
      <c r="C4155">
        <v>95298</v>
      </c>
    </row>
    <row r="4156" spans="3:3">
      <c r="C4156">
        <v>95321</v>
      </c>
    </row>
    <row r="4157" spans="3:3">
      <c r="C4157">
        <v>95344</v>
      </c>
    </row>
    <row r="4158" spans="3:3">
      <c r="C4158">
        <v>95367</v>
      </c>
    </row>
    <row r="4159" spans="3:3">
      <c r="C4159">
        <v>95390</v>
      </c>
    </row>
    <row r="4160" spans="3:3">
      <c r="C4160">
        <v>95413</v>
      </c>
    </row>
    <row r="4161" spans="3:3">
      <c r="C4161">
        <v>95437</v>
      </c>
    </row>
    <row r="4162" spans="3:3">
      <c r="C4162">
        <v>95460</v>
      </c>
    </row>
    <row r="4163" spans="3:3">
      <c r="C4163">
        <v>95483</v>
      </c>
    </row>
    <row r="4164" spans="3:3">
      <c r="C4164">
        <v>95506</v>
      </c>
    </row>
    <row r="4165" spans="3:3">
      <c r="C4165">
        <v>95529</v>
      </c>
    </row>
    <row r="4166" spans="3:3">
      <c r="C4166">
        <v>95552</v>
      </c>
    </row>
    <row r="4167" spans="3:3">
      <c r="C4167">
        <v>95575</v>
      </c>
    </row>
    <row r="4168" spans="3:3">
      <c r="C4168">
        <v>95598</v>
      </c>
    </row>
    <row r="4169" spans="3:3">
      <c r="C4169">
        <v>95621</v>
      </c>
    </row>
    <row r="4170" spans="3:3">
      <c r="C4170">
        <v>95644</v>
      </c>
    </row>
    <row r="4171" spans="3:3">
      <c r="C4171">
        <v>95667</v>
      </c>
    </row>
    <row r="4172" spans="3:3">
      <c r="C4172">
        <v>95690</v>
      </c>
    </row>
    <row r="4173" spans="3:3">
      <c r="C4173">
        <v>95713</v>
      </c>
    </row>
    <row r="4174" spans="3:3">
      <c r="C4174">
        <v>95737</v>
      </c>
    </row>
    <row r="4175" spans="3:3">
      <c r="C4175">
        <v>95760</v>
      </c>
    </row>
    <row r="4176" spans="3:3">
      <c r="C4176">
        <v>95783</v>
      </c>
    </row>
    <row r="4177" spans="3:3">
      <c r="C4177">
        <v>95806</v>
      </c>
    </row>
    <row r="4178" spans="3:3">
      <c r="C4178">
        <v>95829</v>
      </c>
    </row>
    <row r="4179" spans="3:3">
      <c r="C4179">
        <v>95852</v>
      </c>
    </row>
    <row r="4180" spans="3:3">
      <c r="C4180">
        <v>95875</v>
      </c>
    </row>
    <row r="4181" spans="3:3">
      <c r="C4181">
        <v>95898</v>
      </c>
    </row>
    <row r="4182" spans="3:3">
      <c r="C4182">
        <v>95921</v>
      </c>
    </row>
    <row r="4183" spans="3:3">
      <c r="C4183">
        <v>95944</v>
      </c>
    </row>
    <row r="4184" spans="3:3">
      <c r="C4184">
        <v>95967</v>
      </c>
    </row>
    <row r="4185" spans="3:3">
      <c r="C4185">
        <v>95990</v>
      </c>
    </row>
    <row r="4186" spans="3:3">
      <c r="C4186">
        <v>96013</v>
      </c>
    </row>
    <row r="4187" spans="3:3">
      <c r="C4187">
        <v>96037</v>
      </c>
    </row>
    <row r="4188" spans="3:3">
      <c r="C4188">
        <v>96060</v>
      </c>
    </row>
    <row r="4189" spans="3:3">
      <c r="C4189">
        <v>96083</v>
      </c>
    </row>
    <row r="4190" spans="3:3">
      <c r="C4190">
        <v>96106</v>
      </c>
    </row>
    <row r="4191" spans="3:3">
      <c r="C4191">
        <v>96129</v>
      </c>
    </row>
    <row r="4192" spans="3:3">
      <c r="C4192">
        <v>96152</v>
      </c>
    </row>
    <row r="4193" spans="3:3">
      <c r="C4193">
        <v>96175</v>
      </c>
    </row>
    <row r="4194" spans="3:3">
      <c r="C4194">
        <v>96198</v>
      </c>
    </row>
    <row r="4195" spans="3:3">
      <c r="C4195">
        <v>96221</v>
      </c>
    </row>
    <row r="4196" spans="3:3">
      <c r="C4196">
        <v>96244</v>
      </c>
    </row>
    <row r="4197" spans="3:3">
      <c r="C4197">
        <v>96267</v>
      </c>
    </row>
    <row r="4198" spans="3:3">
      <c r="C4198">
        <v>96290</v>
      </c>
    </row>
    <row r="4199" spans="3:3">
      <c r="C4199">
        <v>96313</v>
      </c>
    </row>
    <row r="4200" spans="3:3">
      <c r="C4200">
        <v>96337</v>
      </c>
    </row>
    <row r="4201" spans="3:3">
      <c r="C4201">
        <v>96360</v>
      </c>
    </row>
    <row r="4202" spans="3:3">
      <c r="C4202">
        <v>96383</v>
      </c>
    </row>
    <row r="4203" spans="3:3">
      <c r="C4203">
        <v>96406</v>
      </c>
    </row>
    <row r="4204" spans="3:3">
      <c r="C4204">
        <v>96429</v>
      </c>
    </row>
    <row r="4205" spans="3:3">
      <c r="C4205">
        <v>96452</v>
      </c>
    </row>
    <row r="4206" spans="3:3">
      <c r="C4206">
        <v>96475</v>
      </c>
    </row>
    <row r="4207" spans="3:3">
      <c r="C4207">
        <v>96498</v>
      </c>
    </row>
    <row r="4208" spans="3:3">
      <c r="C4208">
        <v>96521</v>
      </c>
    </row>
    <row r="4209" spans="3:3">
      <c r="C4209">
        <v>96544</v>
      </c>
    </row>
    <row r="4210" spans="3:3">
      <c r="C4210">
        <v>96567</v>
      </c>
    </row>
    <row r="4211" spans="3:3">
      <c r="C4211">
        <v>96590</v>
      </c>
    </row>
    <row r="4212" spans="3:3">
      <c r="C4212">
        <v>96613</v>
      </c>
    </row>
    <row r="4213" spans="3:3">
      <c r="C4213">
        <v>96637</v>
      </c>
    </row>
    <row r="4214" spans="3:3">
      <c r="C4214">
        <v>96660</v>
      </c>
    </row>
    <row r="4215" spans="3:3">
      <c r="C4215">
        <v>96683</v>
      </c>
    </row>
    <row r="4216" spans="3:3">
      <c r="C4216">
        <v>96706</v>
      </c>
    </row>
    <row r="4217" spans="3:3">
      <c r="C4217">
        <v>96729</v>
      </c>
    </row>
    <row r="4218" spans="3:3">
      <c r="C4218">
        <v>96752</v>
      </c>
    </row>
    <row r="4219" spans="3:3">
      <c r="C4219">
        <v>96775</v>
      </c>
    </row>
    <row r="4220" spans="3:3">
      <c r="C4220">
        <v>96798</v>
      </c>
    </row>
    <row r="4221" spans="3:3">
      <c r="C4221">
        <v>96821</v>
      </c>
    </row>
    <row r="4222" spans="3:3">
      <c r="C4222">
        <v>96844</v>
      </c>
    </row>
    <row r="4223" spans="3:3">
      <c r="C4223">
        <v>96867</v>
      </c>
    </row>
    <row r="4224" spans="3:3">
      <c r="C4224">
        <v>96890</v>
      </c>
    </row>
    <row r="4225" spans="3:3">
      <c r="C4225">
        <v>96913</v>
      </c>
    </row>
    <row r="4226" spans="3:3">
      <c r="C4226">
        <v>96937</v>
      </c>
    </row>
    <row r="4227" spans="3:3">
      <c r="C4227">
        <v>96960</v>
      </c>
    </row>
    <row r="4228" spans="3:3">
      <c r="C4228">
        <v>96983</v>
      </c>
    </row>
    <row r="4229" spans="3:3">
      <c r="C4229">
        <v>97006</v>
      </c>
    </row>
    <row r="4230" spans="3:3">
      <c r="C4230">
        <v>97029</v>
      </c>
    </row>
    <row r="4231" spans="3:3">
      <c r="C4231">
        <v>97052</v>
      </c>
    </row>
    <row r="4232" spans="3:3">
      <c r="C4232">
        <v>97075</v>
      </c>
    </row>
    <row r="4233" spans="3:3">
      <c r="C4233">
        <v>97098</v>
      </c>
    </row>
    <row r="4234" spans="3:3">
      <c r="C4234">
        <v>97121</v>
      </c>
    </row>
    <row r="4235" spans="3:3">
      <c r="C4235">
        <v>97144</v>
      </c>
    </row>
    <row r="4236" spans="3:3">
      <c r="C4236">
        <v>97167</v>
      </c>
    </row>
    <row r="4237" spans="3:3">
      <c r="C4237">
        <v>97190</v>
      </c>
    </row>
    <row r="4238" spans="3:3">
      <c r="C4238">
        <v>97213</v>
      </c>
    </row>
    <row r="4239" spans="3:3">
      <c r="C4239">
        <v>97237</v>
      </c>
    </row>
    <row r="4240" spans="3:3">
      <c r="C4240">
        <v>97260</v>
      </c>
    </row>
    <row r="4241" spans="3:3">
      <c r="C4241">
        <v>97283</v>
      </c>
    </row>
    <row r="4242" spans="3:3">
      <c r="C4242">
        <v>97306</v>
      </c>
    </row>
    <row r="4243" spans="3:3">
      <c r="C4243">
        <v>97329</v>
      </c>
    </row>
    <row r="4244" spans="3:3">
      <c r="C4244">
        <v>97352</v>
      </c>
    </row>
    <row r="4245" spans="3:3">
      <c r="C4245">
        <v>97375</v>
      </c>
    </row>
    <row r="4246" spans="3:3">
      <c r="C4246">
        <v>97398</v>
      </c>
    </row>
    <row r="4247" spans="3:3">
      <c r="C4247">
        <v>97421</v>
      </c>
    </row>
    <row r="4248" spans="3:3">
      <c r="C4248">
        <v>97444</v>
      </c>
    </row>
    <row r="4249" spans="3:3">
      <c r="C4249">
        <v>97467</v>
      </c>
    </row>
    <row r="4250" spans="3:3">
      <c r="C4250">
        <v>97490</v>
      </c>
    </row>
    <row r="4251" spans="3:3">
      <c r="C4251">
        <v>97513</v>
      </c>
    </row>
    <row r="4252" spans="3:3">
      <c r="C4252">
        <v>97537</v>
      </c>
    </row>
    <row r="4253" spans="3:3">
      <c r="C4253">
        <v>97560</v>
      </c>
    </row>
    <row r="4254" spans="3:3">
      <c r="C4254">
        <v>97583</v>
      </c>
    </row>
    <row r="4255" spans="3:3">
      <c r="C4255">
        <v>97606</v>
      </c>
    </row>
    <row r="4256" spans="3:3">
      <c r="C4256">
        <v>97629</v>
      </c>
    </row>
    <row r="4257" spans="3:3">
      <c r="C4257">
        <v>97652</v>
      </c>
    </row>
    <row r="4258" spans="3:3">
      <c r="C4258">
        <v>97675</v>
      </c>
    </row>
    <row r="4259" spans="3:3">
      <c r="C4259">
        <v>97698</v>
      </c>
    </row>
    <row r="4260" spans="3:3">
      <c r="C4260">
        <v>97721</v>
      </c>
    </row>
    <row r="4261" spans="3:3">
      <c r="C4261">
        <v>97744</v>
      </c>
    </row>
    <row r="4262" spans="3:3">
      <c r="C4262">
        <v>97767</v>
      </c>
    </row>
    <row r="4263" spans="3:3">
      <c r="C4263">
        <v>97790</v>
      </c>
    </row>
    <row r="4264" spans="3:3">
      <c r="C4264">
        <v>97813</v>
      </c>
    </row>
    <row r="4265" spans="3:3">
      <c r="C4265">
        <v>97837</v>
      </c>
    </row>
    <row r="4266" spans="3:3">
      <c r="C4266">
        <v>97860</v>
      </c>
    </row>
    <row r="4267" spans="3:3">
      <c r="C4267">
        <v>97883</v>
      </c>
    </row>
    <row r="4268" spans="3:3">
      <c r="C4268">
        <v>97906</v>
      </c>
    </row>
    <row r="4269" spans="3:3">
      <c r="C4269">
        <v>97929</v>
      </c>
    </row>
    <row r="4270" spans="3:3">
      <c r="C4270">
        <v>97952</v>
      </c>
    </row>
    <row r="4271" spans="3:3">
      <c r="C4271">
        <v>97975</v>
      </c>
    </row>
    <row r="4272" spans="3:3">
      <c r="C4272">
        <v>97998</v>
      </c>
    </row>
    <row r="4273" spans="3:3">
      <c r="C4273">
        <v>98021</v>
      </c>
    </row>
    <row r="4274" spans="3:3">
      <c r="C4274">
        <v>98044</v>
      </c>
    </row>
    <row r="4275" spans="3:3">
      <c r="C4275">
        <v>98067</v>
      </c>
    </row>
    <row r="4276" spans="3:3">
      <c r="C4276">
        <v>98090</v>
      </c>
    </row>
    <row r="4277" spans="3:3">
      <c r="C4277">
        <v>98113</v>
      </c>
    </row>
    <row r="4278" spans="3:3">
      <c r="C4278">
        <v>98137</v>
      </c>
    </row>
    <row r="4279" spans="3:3">
      <c r="C4279">
        <v>98160</v>
      </c>
    </row>
    <row r="4280" spans="3:3">
      <c r="C4280">
        <v>98183</v>
      </c>
    </row>
    <row r="4281" spans="3:3">
      <c r="C4281">
        <v>98206</v>
      </c>
    </row>
    <row r="4282" spans="3:3">
      <c r="C4282">
        <v>98229</v>
      </c>
    </row>
    <row r="4283" spans="3:3">
      <c r="C4283">
        <v>98252</v>
      </c>
    </row>
    <row r="4284" spans="3:3">
      <c r="C4284">
        <v>98275</v>
      </c>
    </row>
    <row r="4285" spans="3:3">
      <c r="C4285">
        <v>98298</v>
      </c>
    </row>
    <row r="4286" spans="3:3">
      <c r="C4286">
        <v>98321</v>
      </c>
    </row>
    <row r="4287" spans="3:3">
      <c r="C4287">
        <v>98344</v>
      </c>
    </row>
    <row r="4288" spans="3:3">
      <c r="C4288">
        <v>98367</v>
      </c>
    </row>
    <row r="4289" spans="3:3">
      <c r="C4289">
        <v>98390</v>
      </c>
    </row>
    <row r="4290" spans="3:3">
      <c r="C4290">
        <v>98413</v>
      </c>
    </row>
    <row r="4291" spans="3:3">
      <c r="C4291">
        <v>98437</v>
      </c>
    </row>
    <row r="4292" spans="3:3">
      <c r="C4292">
        <v>98460</v>
      </c>
    </row>
    <row r="4293" spans="3:3">
      <c r="C4293">
        <v>98483</v>
      </c>
    </row>
    <row r="4294" spans="3:3">
      <c r="C4294">
        <v>98506</v>
      </c>
    </row>
    <row r="4295" spans="3:3">
      <c r="C4295">
        <v>98529</v>
      </c>
    </row>
    <row r="4296" spans="3:3">
      <c r="C4296">
        <v>98552</v>
      </c>
    </row>
    <row r="4297" spans="3:3">
      <c r="C4297">
        <v>98575</v>
      </c>
    </row>
    <row r="4298" spans="3:3">
      <c r="C4298">
        <v>98598</v>
      </c>
    </row>
    <row r="4299" spans="3:3">
      <c r="C4299">
        <v>98621</v>
      </c>
    </row>
    <row r="4300" spans="3:3">
      <c r="C4300">
        <v>98644</v>
      </c>
    </row>
    <row r="4301" spans="3:3">
      <c r="C4301">
        <v>98667</v>
      </c>
    </row>
    <row r="4302" spans="3:3">
      <c r="C4302">
        <v>98690</v>
      </c>
    </row>
    <row r="4303" spans="3:3">
      <c r="C4303">
        <v>98713</v>
      </c>
    </row>
    <row r="4304" spans="3:3">
      <c r="C4304">
        <v>98737</v>
      </c>
    </row>
    <row r="4305" spans="3:3">
      <c r="C4305">
        <v>98760</v>
      </c>
    </row>
    <row r="4306" spans="3:3">
      <c r="C4306">
        <v>98783</v>
      </c>
    </row>
    <row r="4307" spans="3:3">
      <c r="C4307">
        <v>98806</v>
      </c>
    </row>
    <row r="4308" spans="3:3">
      <c r="C4308">
        <v>98829</v>
      </c>
    </row>
    <row r="4309" spans="3:3">
      <c r="C4309">
        <v>98852</v>
      </c>
    </row>
    <row r="4310" spans="3:3">
      <c r="C4310">
        <v>98875</v>
      </c>
    </row>
    <row r="4311" spans="3:3">
      <c r="C4311">
        <v>98898</v>
      </c>
    </row>
    <row r="4312" spans="3:3">
      <c r="C4312">
        <v>98921</v>
      </c>
    </row>
    <row r="4313" spans="3:3">
      <c r="C4313">
        <v>98944</v>
      </c>
    </row>
    <row r="4314" spans="3:3">
      <c r="C4314">
        <v>98967</v>
      </c>
    </row>
    <row r="4315" spans="3:3">
      <c r="C4315">
        <v>98990</v>
      </c>
    </row>
    <row r="4316" spans="3:3">
      <c r="C4316">
        <v>99013</v>
      </c>
    </row>
    <row r="4317" spans="3:3">
      <c r="C4317">
        <v>99037</v>
      </c>
    </row>
    <row r="4318" spans="3:3">
      <c r="C4318">
        <v>99060</v>
      </c>
    </row>
    <row r="4319" spans="3:3">
      <c r="C4319">
        <v>99083</v>
      </c>
    </row>
    <row r="4320" spans="3:3">
      <c r="C4320">
        <v>99106</v>
      </c>
    </row>
    <row r="4321" spans="3:3">
      <c r="C4321">
        <v>99129</v>
      </c>
    </row>
    <row r="4322" spans="3:3">
      <c r="C4322">
        <v>99152</v>
      </c>
    </row>
    <row r="4323" spans="3:3">
      <c r="C4323">
        <v>99175</v>
      </c>
    </row>
    <row r="4324" spans="3:3">
      <c r="C4324">
        <v>99198</v>
      </c>
    </row>
    <row r="4325" spans="3:3">
      <c r="C4325">
        <v>99221</v>
      </c>
    </row>
    <row r="4326" spans="3:3">
      <c r="C4326">
        <v>99244</v>
      </c>
    </row>
    <row r="4327" spans="3:3">
      <c r="C4327">
        <v>99267</v>
      </c>
    </row>
    <row r="4328" spans="3:3">
      <c r="C4328">
        <v>99290</v>
      </c>
    </row>
    <row r="4329" spans="3:3">
      <c r="C4329">
        <v>99313</v>
      </c>
    </row>
    <row r="4330" spans="3:3">
      <c r="C4330">
        <v>99337</v>
      </c>
    </row>
    <row r="4331" spans="3:3">
      <c r="C4331">
        <v>99360</v>
      </c>
    </row>
    <row r="4332" spans="3:3">
      <c r="C4332">
        <v>99383</v>
      </c>
    </row>
    <row r="4333" spans="3:3">
      <c r="C4333">
        <v>99406</v>
      </c>
    </row>
    <row r="4334" spans="3:3">
      <c r="C4334">
        <v>99429</v>
      </c>
    </row>
    <row r="4335" spans="3:3">
      <c r="C4335">
        <v>99452</v>
      </c>
    </row>
    <row r="4336" spans="3:3">
      <c r="C4336">
        <v>99475</v>
      </c>
    </row>
    <row r="4337" spans="3:3">
      <c r="C4337">
        <v>99498</v>
      </c>
    </row>
    <row r="4338" spans="3:3">
      <c r="C4338">
        <v>99521</v>
      </c>
    </row>
    <row r="4339" spans="3:3">
      <c r="C4339">
        <v>99544</v>
      </c>
    </row>
    <row r="4340" spans="3:3">
      <c r="C4340">
        <v>99567</v>
      </c>
    </row>
    <row r="4341" spans="3:3">
      <c r="C4341">
        <v>99590</v>
      </c>
    </row>
    <row r="4342" spans="3:3">
      <c r="C4342">
        <v>99613</v>
      </c>
    </row>
    <row r="4343" spans="3:3">
      <c r="C4343">
        <v>99637</v>
      </c>
    </row>
    <row r="4344" spans="3:3">
      <c r="C4344">
        <v>99660</v>
      </c>
    </row>
    <row r="4345" spans="3:3">
      <c r="C4345">
        <v>99683</v>
      </c>
    </row>
    <row r="4346" spans="3:3">
      <c r="C4346">
        <v>99706</v>
      </c>
    </row>
    <row r="4347" spans="3:3">
      <c r="C4347">
        <v>99729</v>
      </c>
    </row>
    <row r="4348" spans="3:3">
      <c r="C4348">
        <v>99752</v>
      </c>
    </row>
    <row r="4349" spans="3:3">
      <c r="C4349">
        <v>99775</v>
      </c>
    </row>
    <row r="4350" spans="3:3">
      <c r="C4350">
        <v>99798</v>
      </c>
    </row>
    <row r="4351" spans="3:3">
      <c r="C4351">
        <v>99821</v>
      </c>
    </row>
    <row r="4352" spans="3:3">
      <c r="C4352">
        <v>99844</v>
      </c>
    </row>
    <row r="4353" spans="3:3">
      <c r="C4353">
        <v>99867</v>
      </c>
    </row>
    <row r="4354" spans="3:3">
      <c r="C4354">
        <v>99890</v>
      </c>
    </row>
    <row r="4355" spans="3:3">
      <c r="C4355">
        <v>99913</v>
      </c>
    </row>
    <row r="4356" spans="3:3">
      <c r="C4356">
        <v>99937</v>
      </c>
    </row>
    <row r="4357" spans="3:3">
      <c r="C4357">
        <v>99960</v>
      </c>
    </row>
    <row r="4358" spans="3:3">
      <c r="C4358">
        <v>99983</v>
      </c>
    </row>
    <row r="4359" spans="3:3">
      <c r="C4359">
        <v>100006</v>
      </c>
    </row>
    <row r="4360" spans="3:3">
      <c r="C4360">
        <v>100029</v>
      </c>
    </row>
    <row r="4361" spans="3:3">
      <c r="C4361">
        <v>100052</v>
      </c>
    </row>
    <row r="4362" spans="3:3">
      <c r="C4362">
        <v>100075</v>
      </c>
    </row>
    <row r="4363" spans="3:3">
      <c r="C4363">
        <v>100098</v>
      </c>
    </row>
    <row r="4364" spans="3:3">
      <c r="C4364">
        <v>100121</v>
      </c>
    </row>
    <row r="4365" spans="3:3">
      <c r="C4365">
        <v>100144</v>
      </c>
    </row>
    <row r="4366" spans="3:3">
      <c r="C4366">
        <v>100167</v>
      </c>
    </row>
    <row r="4367" spans="3:3">
      <c r="C4367">
        <v>100190</v>
      </c>
    </row>
    <row r="4368" spans="3:3">
      <c r="C4368">
        <v>100213</v>
      </c>
    </row>
    <row r="4369" spans="3:3">
      <c r="C4369">
        <v>100237</v>
      </c>
    </row>
    <row r="4370" spans="3:3">
      <c r="C4370">
        <v>100260</v>
      </c>
    </row>
    <row r="4371" spans="3:3">
      <c r="C4371">
        <v>100283</v>
      </c>
    </row>
    <row r="4372" spans="3:3">
      <c r="C4372">
        <v>100306</v>
      </c>
    </row>
    <row r="4373" spans="3:3">
      <c r="C4373">
        <v>100329</v>
      </c>
    </row>
    <row r="4374" spans="3:3">
      <c r="C4374">
        <v>100352</v>
      </c>
    </row>
    <row r="4375" spans="3:3">
      <c r="C4375">
        <v>100375</v>
      </c>
    </row>
    <row r="4376" spans="3:3">
      <c r="C4376">
        <v>100398</v>
      </c>
    </row>
    <row r="4377" spans="3:3">
      <c r="C4377">
        <v>100421</v>
      </c>
    </row>
    <row r="4378" spans="3:3">
      <c r="C4378">
        <v>100444</v>
      </c>
    </row>
    <row r="4379" spans="3:3">
      <c r="C4379">
        <v>100467</v>
      </c>
    </row>
    <row r="4380" spans="3:3">
      <c r="C4380">
        <v>100490</v>
      </c>
    </row>
    <row r="4381" spans="3:3">
      <c r="C4381">
        <v>100513</v>
      </c>
    </row>
    <row r="4382" spans="3:3">
      <c r="C4382">
        <v>100537</v>
      </c>
    </row>
    <row r="4383" spans="3:3">
      <c r="C4383">
        <v>100560</v>
      </c>
    </row>
    <row r="4384" spans="3:3">
      <c r="C4384">
        <v>100583</v>
      </c>
    </row>
    <row r="4385" spans="3:3">
      <c r="C4385">
        <v>100606</v>
      </c>
    </row>
    <row r="4386" spans="3:3">
      <c r="C4386">
        <v>100629</v>
      </c>
    </row>
    <row r="4387" spans="3:3">
      <c r="C4387">
        <v>100652</v>
      </c>
    </row>
    <row r="4388" spans="3:3">
      <c r="C4388">
        <v>100675</v>
      </c>
    </row>
    <row r="4389" spans="3:3">
      <c r="C4389">
        <v>100698</v>
      </c>
    </row>
    <row r="4390" spans="3:3">
      <c r="C4390">
        <v>100721</v>
      </c>
    </row>
    <row r="4391" spans="3:3">
      <c r="C4391">
        <v>100744</v>
      </c>
    </row>
    <row r="4392" spans="3:3">
      <c r="C4392">
        <v>100767</v>
      </c>
    </row>
    <row r="4393" spans="3:3">
      <c r="C4393">
        <v>100790</v>
      </c>
    </row>
    <row r="4394" spans="3:3">
      <c r="C4394">
        <v>100813</v>
      </c>
    </row>
    <row r="4395" spans="3:3">
      <c r="C4395">
        <v>100837</v>
      </c>
    </row>
    <row r="4396" spans="3:3">
      <c r="C4396">
        <v>100860</v>
      </c>
    </row>
    <row r="4397" spans="3:3">
      <c r="C4397">
        <v>100883</v>
      </c>
    </row>
    <row r="4398" spans="3:3">
      <c r="C4398">
        <v>100906</v>
      </c>
    </row>
    <row r="4399" spans="3:3">
      <c r="C4399">
        <v>100929</v>
      </c>
    </row>
    <row r="4400" spans="3:3">
      <c r="C4400">
        <v>100952</v>
      </c>
    </row>
    <row r="4401" spans="3:3">
      <c r="C4401">
        <v>100975</v>
      </c>
    </row>
    <row r="4402" spans="3:3">
      <c r="C4402">
        <v>100998</v>
      </c>
    </row>
    <row r="4403" spans="3:3">
      <c r="C4403">
        <v>101021</v>
      </c>
    </row>
    <row r="4404" spans="3:3">
      <c r="C4404">
        <v>101044</v>
      </c>
    </row>
    <row r="4405" spans="3:3">
      <c r="C4405">
        <v>101067</v>
      </c>
    </row>
    <row r="4406" spans="3:3">
      <c r="C4406">
        <v>101090</v>
      </c>
    </row>
    <row r="4407" spans="3:3">
      <c r="C4407">
        <v>101113</v>
      </c>
    </row>
    <row r="4408" spans="3:3">
      <c r="C4408">
        <v>101137</v>
      </c>
    </row>
    <row r="4409" spans="3:3">
      <c r="C4409">
        <v>101160</v>
      </c>
    </row>
    <row r="4410" spans="3:3">
      <c r="C4410">
        <v>101183</v>
      </c>
    </row>
    <row r="4411" spans="3:3">
      <c r="C4411">
        <v>101206</v>
      </c>
    </row>
    <row r="4412" spans="3:3">
      <c r="C4412">
        <v>101229</v>
      </c>
    </row>
    <row r="4413" spans="3:3">
      <c r="C4413">
        <v>101252</v>
      </c>
    </row>
    <row r="4414" spans="3:3">
      <c r="C4414">
        <v>101275</v>
      </c>
    </row>
    <row r="4415" spans="3:3">
      <c r="C4415">
        <v>101298</v>
      </c>
    </row>
    <row r="4416" spans="3:3">
      <c r="C4416">
        <v>101321</v>
      </c>
    </row>
    <row r="4417" spans="3:3">
      <c r="C4417">
        <v>101344</v>
      </c>
    </row>
    <row r="4418" spans="3:3">
      <c r="C4418">
        <v>101367</v>
      </c>
    </row>
    <row r="4419" spans="3:3">
      <c r="C4419">
        <v>101390</v>
      </c>
    </row>
    <row r="4420" spans="3:3">
      <c r="C4420">
        <v>101413</v>
      </c>
    </row>
    <row r="4421" spans="3:3">
      <c r="C4421">
        <v>101437</v>
      </c>
    </row>
    <row r="4422" spans="3:3">
      <c r="C4422">
        <v>101460</v>
      </c>
    </row>
    <row r="4423" spans="3:3">
      <c r="C4423">
        <v>101483</v>
      </c>
    </row>
    <row r="4424" spans="3:3">
      <c r="C4424">
        <v>101506</v>
      </c>
    </row>
    <row r="4425" spans="3:3">
      <c r="C4425">
        <v>101529</v>
      </c>
    </row>
    <row r="4426" spans="3:3">
      <c r="C4426">
        <v>101552</v>
      </c>
    </row>
    <row r="4427" spans="3:3">
      <c r="C4427">
        <v>101575</v>
      </c>
    </row>
    <row r="4428" spans="3:3">
      <c r="C4428">
        <v>101598</v>
      </c>
    </row>
    <row r="4429" spans="3:3">
      <c r="C4429">
        <v>101621</v>
      </c>
    </row>
    <row r="4430" spans="3:3">
      <c r="C4430">
        <v>101644</v>
      </c>
    </row>
    <row r="4431" spans="3:3">
      <c r="C4431">
        <v>101667</v>
      </c>
    </row>
    <row r="4432" spans="3:3">
      <c r="C4432">
        <v>101690</v>
      </c>
    </row>
    <row r="4433" spans="3:3">
      <c r="C4433">
        <v>101713</v>
      </c>
    </row>
    <row r="4434" spans="3:3">
      <c r="C4434">
        <v>101737</v>
      </c>
    </row>
    <row r="4435" spans="3:3">
      <c r="C4435">
        <v>101760</v>
      </c>
    </row>
    <row r="4436" spans="3:3">
      <c r="C4436">
        <v>101783</v>
      </c>
    </row>
    <row r="4437" spans="3:3">
      <c r="C4437">
        <v>101806</v>
      </c>
    </row>
    <row r="4438" spans="3:3">
      <c r="C4438">
        <v>101829</v>
      </c>
    </row>
    <row r="4439" spans="3:3">
      <c r="C4439">
        <v>101852</v>
      </c>
    </row>
    <row r="4440" spans="3:3">
      <c r="C4440">
        <v>101875</v>
      </c>
    </row>
    <row r="4441" spans="3:3">
      <c r="C4441">
        <v>101898</v>
      </c>
    </row>
    <row r="4442" spans="3:3">
      <c r="C4442">
        <v>101921</v>
      </c>
    </row>
    <row r="4443" spans="3:3">
      <c r="C4443">
        <v>101944</v>
      </c>
    </row>
    <row r="4444" spans="3:3">
      <c r="C4444">
        <v>101967</v>
      </c>
    </row>
    <row r="4445" spans="3:3">
      <c r="C4445">
        <v>101990</v>
      </c>
    </row>
    <row r="4446" spans="3:3">
      <c r="C4446">
        <v>102013</v>
      </c>
    </row>
    <row r="4447" spans="3:3">
      <c r="C4447">
        <v>102037</v>
      </c>
    </row>
    <row r="4448" spans="3:3">
      <c r="C4448">
        <v>102060</v>
      </c>
    </row>
    <row r="4449" spans="3:3">
      <c r="C4449">
        <v>102083</v>
      </c>
    </row>
    <row r="4450" spans="3:3">
      <c r="C4450">
        <v>102106</v>
      </c>
    </row>
    <row r="4451" spans="3:3">
      <c r="C4451">
        <v>102129</v>
      </c>
    </row>
    <row r="4452" spans="3:3">
      <c r="C4452">
        <v>102152</v>
      </c>
    </row>
    <row r="4453" spans="3:3">
      <c r="C4453">
        <v>102175</v>
      </c>
    </row>
    <row r="4454" spans="3:3">
      <c r="C4454">
        <v>102198</v>
      </c>
    </row>
    <row r="4455" spans="3:3">
      <c r="C4455">
        <v>102221</v>
      </c>
    </row>
    <row r="4456" spans="3:3">
      <c r="C4456">
        <v>102244</v>
      </c>
    </row>
    <row r="4457" spans="3:3">
      <c r="C4457">
        <v>102267</v>
      </c>
    </row>
    <row r="4458" spans="3:3">
      <c r="C4458">
        <v>102290</v>
      </c>
    </row>
    <row r="4459" spans="3:3">
      <c r="C4459">
        <v>102313</v>
      </c>
    </row>
    <row r="4460" spans="3:3">
      <c r="C4460">
        <v>102337</v>
      </c>
    </row>
    <row r="4461" spans="3:3">
      <c r="C4461">
        <v>102360</v>
      </c>
    </row>
    <row r="4462" spans="3:3">
      <c r="C4462">
        <v>102383</v>
      </c>
    </row>
    <row r="4463" spans="3:3">
      <c r="C4463">
        <v>102406</v>
      </c>
    </row>
    <row r="4464" spans="3:3">
      <c r="C4464">
        <v>102429</v>
      </c>
    </row>
    <row r="4465" spans="3:3">
      <c r="C4465">
        <v>102452</v>
      </c>
    </row>
    <row r="4466" spans="3:3">
      <c r="C4466">
        <v>102475</v>
      </c>
    </row>
    <row r="4467" spans="3:3">
      <c r="C4467">
        <v>102498</v>
      </c>
    </row>
    <row r="4468" spans="3:3">
      <c r="C4468">
        <v>102521</v>
      </c>
    </row>
    <row r="4469" spans="3:3">
      <c r="C4469">
        <v>102544</v>
      </c>
    </row>
    <row r="4470" spans="3:3">
      <c r="C4470">
        <v>102567</v>
      </c>
    </row>
    <row r="4471" spans="3:3">
      <c r="C4471">
        <v>102590</v>
      </c>
    </row>
    <row r="4472" spans="3:3">
      <c r="C4472">
        <v>102613</v>
      </c>
    </row>
    <row r="4473" spans="3:3">
      <c r="C4473">
        <v>102637</v>
      </c>
    </row>
    <row r="4474" spans="3:3">
      <c r="C4474">
        <v>102660</v>
      </c>
    </row>
    <row r="4475" spans="3:3">
      <c r="C4475">
        <v>102683</v>
      </c>
    </row>
    <row r="4476" spans="3:3">
      <c r="C4476">
        <v>102706</v>
      </c>
    </row>
    <row r="4477" spans="3:3">
      <c r="C4477">
        <v>102729</v>
      </c>
    </row>
    <row r="4478" spans="3:3">
      <c r="C4478">
        <v>102752</v>
      </c>
    </row>
    <row r="4479" spans="3:3">
      <c r="C4479">
        <v>102775</v>
      </c>
    </row>
    <row r="4480" spans="3:3">
      <c r="C4480">
        <v>102798</v>
      </c>
    </row>
    <row r="4481" spans="3:3">
      <c r="C4481">
        <v>102821</v>
      </c>
    </row>
    <row r="4482" spans="3:3">
      <c r="C4482">
        <v>102844</v>
      </c>
    </row>
    <row r="4483" spans="3:3">
      <c r="C4483">
        <v>102867</v>
      </c>
    </row>
    <row r="4484" spans="3:3">
      <c r="C4484">
        <v>102890</v>
      </c>
    </row>
    <row r="4485" spans="3:3">
      <c r="C4485">
        <v>102913</v>
      </c>
    </row>
    <row r="4486" spans="3:3">
      <c r="C4486">
        <v>102937</v>
      </c>
    </row>
    <row r="4487" spans="3:3">
      <c r="C4487">
        <v>102960</v>
      </c>
    </row>
    <row r="4488" spans="3:3">
      <c r="C4488">
        <v>102983</v>
      </c>
    </row>
    <row r="4489" spans="3:3">
      <c r="C4489">
        <v>103006</v>
      </c>
    </row>
    <row r="4490" spans="3:3">
      <c r="C4490">
        <v>103029</v>
      </c>
    </row>
    <row r="4491" spans="3:3">
      <c r="C4491">
        <v>103052</v>
      </c>
    </row>
    <row r="4492" spans="3:3">
      <c r="C4492">
        <v>103075</v>
      </c>
    </row>
    <row r="4493" spans="3:3">
      <c r="C4493">
        <v>103098</v>
      </c>
    </row>
    <row r="4494" spans="3:3">
      <c r="C4494">
        <v>103121</v>
      </c>
    </row>
    <row r="4495" spans="3:3">
      <c r="C4495">
        <v>103144</v>
      </c>
    </row>
    <row r="4496" spans="3:3">
      <c r="C4496">
        <v>103167</v>
      </c>
    </row>
    <row r="4497" spans="3:3">
      <c r="C4497">
        <v>103190</v>
      </c>
    </row>
    <row r="4498" spans="3:3">
      <c r="C4498">
        <v>103213</v>
      </c>
    </row>
    <row r="4499" spans="3:3">
      <c r="C4499">
        <v>103237</v>
      </c>
    </row>
    <row r="4500" spans="3:3">
      <c r="C4500">
        <v>103260</v>
      </c>
    </row>
    <row r="4501" spans="3:3">
      <c r="C4501">
        <v>103283</v>
      </c>
    </row>
    <row r="4502" spans="3:3">
      <c r="C4502">
        <v>103306</v>
      </c>
    </row>
    <row r="4503" spans="3:3">
      <c r="C4503">
        <v>103329</v>
      </c>
    </row>
    <row r="4504" spans="3:3">
      <c r="C4504">
        <v>103352</v>
      </c>
    </row>
    <row r="4505" spans="3:3">
      <c r="C4505">
        <v>103375</v>
      </c>
    </row>
    <row r="4506" spans="3:3">
      <c r="C4506">
        <v>103398</v>
      </c>
    </row>
    <row r="4507" spans="3:3">
      <c r="C4507">
        <v>103421</v>
      </c>
    </row>
    <row r="4508" spans="3:3">
      <c r="C4508">
        <v>103444</v>
      </c>
    </row>
    <row r="4509" spans="3:3">
      <c r="C4509">
        <v>103467</v>
      </c>
    </row>
    <row r="4510" spans="3:3">
      <c r="C4510">
        <v>103490</v>
      </c>
    </row>
    <row r="4511" spans="3:3">
      <c r="C4511">
        <v>103513</v>
      </c>
    </row>
    <row r="4512" spans="3:3">
      <c r="C4512">
        <v>103537</v>
      </c>
    </row>
    <row r="4513" spans="3:3">
      <c r="C4513">
        <v>103560</v>
      </c>
    </row>
    <row r="4514" spans="3:3">
      <c r="C4514">
        <v>103583</v>
      </c>
    </row>
    <row r="4515" spans="3:3">
      <c r="C4515">
        <v>103606</v>
      </c>
    </row>
    <row r="4516" spans="3:3">
      <c r="C4516">
        <v>103629</v>
      </c>
    </row>
    <row r="4517" spans="3:3">
      <c r="C4517">
        <v>103652</v>
      </c>
    </row>
    <row r="4518" spans="3:3">
      <c r="C4518">
        <v>103675</v>
      </c>
    </row>
    <row r="4519" spans="3:3">
      <c r="C4519">
        <v>103698</v>
      </c>
    </row>
    <row r="4520" spans="3:3">
      <c r="C4520">
        <v>103721</v>
      </c>
    </row>
    <row r="4521" spans="3:3">
      <c r="C4521">
        <v>103744</v>
      </c>
    </row>
    <row r="4522" spans="3:3">
      <c r="C4522">
        <v>103767</v>
      </c>
    </row>
    <row r="4523" spans="3:3">
      <c r="C4523">
        <v>103790</v>
      </c>
    </row>
    <row r="4524" spans="3:3">
      <c r="C4524">
        <v>103813</v>
      </c>
    </row>
    <row r="4525" spans="3:3">
      <c r="C4525">
        <v>103837</v>
      </c>
    </row>
    <row r="4526" spans="3:3">
      <c r="C4526">
        <v>103860</v>
      </c>
    </row>
    <row r="4527" spans="3:3">
      <c r="C4527">
        <v>103883</v>
      </c>
    </row>
    <row r="4528" spans="3:3">
      <c r="C4528">
        <v>103906</v>
      </c>
    </row>
    <row r="4529" spans="3:3">
      <c r="C4529">
        <v>103929</v>
      </c>
    </row>
    <row r="4530" spans="3:3">
      <c r="C4530">
        <v>103952</v>
      </c>
    </row>
    <row r="4531" spans="3:3">
      <c r="C4531">
        <v>103975</v>
      </c>
    </row>
    <row r="4532" spans="3:3">
      <c r="C4532">
        <v>103998</v>
      </c>
    </row>
    <row r="4533" spans="3:3">
      <c r="C4533">
        <v>104021</v>
      </c>
    </row>
    <row r="4534" spans="3:3">
      <c r="C4534">
        <v>104044</v>
      </c>
    </row>
    <row r="4535" spans="3:3">
      <c r="C4535">
        <v>104067</v>
      </c>
    </row>
    <row r="4536" spans="3:3">
      <c r="C4536">
        <v>104090</v>
      </c>
    </row>
    <row r="4537" spans="3:3">
      <c r="C4537">
        <v>104113</v>
      </c>
    </row>
    <row r="4538" spans="3:3">
      <c r="C4538">
        <v>104137</v>
      </c>
    </row>
    <row r="4539" spans="3:3">
      <c r="C4539">
        <v>104160</v>
      </c>
    </row>
    <row r="4540" spans="3:3">
      <c r="C4540">
        <v>104183</v>
      </c>
    </row>
    <row r="4541" spans="3:3">
      <c r="C4541">
        <v>104206</v>
      </c>
    </row>
    <row r="4542" spans="3:3">
      <c r="C4542">
        <v>104229</v>
      </c>
    </row>
    <row r="4543" spans="3:3">
      <c r="C4543">
        <v>104252</v>
      </c>
    </row>
    <row r="4544" spans="3:3">
      <c r="C4544">
        <v>104275</v>
      </c>
    </row>
    <row r="4545" spans="3:3">
      <c r="C4545">
        <v>104298</v>
      </c>
    </row>
    <row r="4546" spans="3:3">
      <c r="C4546">
        <v>104321</v>
      </c>
    </row>
    <row r="4547" spans="3:3">
      <c r="C4547">
        <v>104344</v>
      </c>
    </row>
    <row r="4548" spans="3:3">
      <c r="C4548">
        <v>104367</v>
      </c>
    </row>
    <row r="4549" spans="3:3">
      <c r="C4549">
        <v>104390</v>
      </c>
    </row>
    <row r="4550" spans="3:3">
      <c r="C4550">
        <v>104413</v>
      </c>
    </row>
    <row r="4551" spans="3:3">
      <c r="C4551">
        <v>104437</v>
      </c>
    </row>
    <row r="4552" spans="3:3">
      <c r="C4552">
        <v>104460</v>
      </c>
    </row>
    <row r="4553" spans="3:3">
      <c r="C4553">
        <v>104483</v>
      </c>
    </row>
    <row r="4554" spans="3:3">
      <c r="C4554">
        <v>104506</v>
      </c>
    </row>
    <row r="4555" spans="3:3">
      <c r="C4555">
        <v>104529</v>
      </c>
    </row>
    <row r="4556" spans="3:3">
      <c r="C4556">
        <v>104552</v>
      </c>
    </row>
    <row r="4557" spans="3:3">
      <c r="C4557">
        <v>104575</v>
      </c>
    </row>
    <row r="4558" spans="3:3">
      <c r="C4558">
        <v>104598</v>
      </c>
    </row>
    <row r="4559" spans="3:3">
      <c r="C4559">
        <v>104621</v>
      </c>
    </row>
    <row r="4560" spans="3:3">
      <c r="C4560">
        <v>104644</v>
      </c>
    </row>
    <row r="4561" spans="3:3">
      <c r="C4561">
        <v>104667</v>
      </c>
    </row>
    <row r="4562" spans="3:3">
      <c r="C4562">
        <v>104690</v>
      </c>
    </row>
    <row r="4563" spans="3:3">
      <c r="C4563">
        <v>104713</v>
      </c>
    </row>
    <row r="4564" spans="3:3">
      <c r="C4564">
        <v>104737</v>
      </c>
    </row>
    <row r="4565" spans="3:3">
      <c r="C4565">
        <v>104760</v>
      </c>
    </row>
    <row r="4566" spans="3:3">
      <c r="C4566">
        <v>104783</v>
      </c>
    </row>
    <row r="4567" spans="3:3">
      <c r="C4567">
        <v>104806</v>
      </c>
    </row>
    <row r="4568" spans="3:3">
      <c r="C4568">
        <v>104829</v>
      </c>
    </row>
    <row r="4569" spans="3:3">
      <c r="C4569">
        <v>104852</v>
      </c>
    </row>
    <row r="4570" spans="3:3">
      <c r="C4570">
        <v>104875</v>
      </c>
    </row>
    <row r="4571" spans="3:3">
      <c r="C4571">
        <v>104898</v>
      </c>
    </row>
    <row r="4572" spans="3:3">
      <c r="C4572">
        <v>104921</v>
      </c>
    </row>
    <row r="4573" spans="3:3">
      <c r="C4573">
        <v>104944</v>
      </c>
    </row>
    <row r="4574" spans="3:3">
      <c r="C4574">
        <v>104967</v>
      </c>
    </row>
    <row r="4575" spans="3:3">
      <c r="C4575">
        <v>104990</v>
      </c>
    </row>
    <row r="4576" spans="3:3">
      <c r="C4576">
        <v>105013</v>
      </c>
    </row>
    <row r="4577" spans="3:3">
      <c r="C4577">
        <v>105037</v>
      </c>
    </row>
    <row r="4578" spans="3:3">
      <c r="C4578">
        <v>105060</v>
      </c>
    </row>
    <row r="4579" spans="3:3">
      <c r="C4579">
        <v>105083</v>
      </c>
    </row>
    <row r="4580" spans="3:3">
      <c r="C4580">
        <v>105106</v>
      </c>
    </row>
    <row r="4581" spans="3:3">
      <c r="C4581">
        <v>105129</v>
      </c>
    </row>
    <row r="4582" spans="3:3">
      <c r="C4582">
        <v>105152</v>
      </c>
    </row>
    <row r="4583" spans="3:3">
      <c r="C4583">
        <v>105175</v>
      </c>
    </row>
    <row r="4584" spans="3:3">
      <c r="C4584">
        <v>105198</v>
      </c>
    </row>
    <row r="4585" spans="3:3">
      <c r="C4585">
        <v>105221</v>
      </c>
    </row>
    <row r="4586" spans="3:3">
      <c r="C4586">
        <v>105244</v>
      </c>
    </row>
    <row r="4587" spans="3:3">
      <c r="C4587">
        <v>105267</v>
      </c>
    </row>
    <row r="4588" spans="3:3">
      <c r="C4588">
        <v>105290</v>
      </c>
    </row>
    <row r="4589" spans="3:3">
      <c r="C4589">
        <v>105313</v>
      </c>
    </row>
    <row r="4590" spans="3:3">
      <c r="C4590">
        <v>105337</v>
      </c>
    </row>
    <row r="4591" spans="3:3">
      <c r="C4591">
        <v>105360</v>
      </c>
    </row>
    <row r="4592" spans="3:3">
      <c r="C4592">
        <v>105383</v>
      </c>
    </row>
    <row r="4593" spans="3:3">
      <c r="C4593">
        <v>105406</v>
      </c>
    </row>
    <row r="4594" spans="3:3">
      <c r="C4594">
        <v>105429</v>
      </c>
    </row>
    <row r="4595" spans="3:3">
      <c r="C4595">
        <v>105452</v>
      </c>
    </row>
    <row r="4596" spans="3:3">
      <c r="C4596">
        <v>105475</v>
      </c>
    </row>
    <row r="4597" spans="3:3">
      <c r="C4597">
        <v>105498</v>
      </c>
    </row>
    <row r="4598" spans="3:3">
      <c r="C4598">
        <v>105521</v>
      </c>
    </row>
    <row r="4599" spans="3:3">
      <c r="C4599">
        <v>105544</v>
      </c>
    </row>
    <row r="4600" spans="3:3">
      <c r="C4600">
        <v>105567</v>
      </c>
    </row>
    <row r="4601" spans="3:3">
      <c r="C4601">
        <v>105590</v>
      </c>
    </row>
    <row r="4602" spans="3:3">
      <c r="C4602">
        <v>105613</v>
      </c>
    </row>
    <row r="4603" spans="3:3">
      <c r="C4603">
        <v>105637</v>
      </c>
    </row>
    <row r="4604" spans="3:3">
      <c r="C4604">
        <v>105660</v>
      </c>
    </row>
    <row r="4605" spans="3:3">
      <c r="C4605">
        <v>105683</v>
      </c>
    </row>
    <row r="4606" spans="3:3">
      <c r="C4606">
        <v>105706</v>
      </c>
    </row>
    <row r="4607" spans="3:3">
      <c r="C4607">
        <v>105729</v>
      </c>
    </row>
    <row r="4608" spans="3:3">
      <c r="C4608">
        <v>105752</v>
      </c>
    </row>
    <row r="4609" spans="3:3">
      <c r="C4609">
        <v>105775</v>
      </c>
    </row>
    <row r="4610" spans="3:3">
      <c r="C4610">
        <v>105798</v>
      </c>
    </row>
    <row r="4611" spans="3:3">
      <c r="C4611">
        <v>105821</v>
      </c>
    </row>
    <row r="4612" spans="3:3">
      <c r="C4612">
        <v>105844</v>
      </c>
    </row>
    <row r="4613" spans="3:3">
      <c r="C4613">
        <v>105867</v>
      </c>
    </row>
    <row r="4614" spans="3:3">
      <c r="C4614">
        <v>105890</v>
      </c>
    </row>
    <row r="4615" spans="3:3">
      <c r="C4615">
        <v>105913</v>
      </c>
    </row>
    <row r="4616" spans="3:3">
      <c r="C4616">
        <v>105937</v>
      </c>
    </row>
    <row r="4617" spans="3:3">
      <c r="C4617">
        <v>105960</v>
      </c>
    </row>
    <row r="4618" spans="3:3">
      <c r="C4618">
        <v>105983</v>
      </c>
    </row>
    <row r="4619" spans="3:3">
      <c r="C4619">
        <v>106006</v>
      </c>
    </row>
    <row r="4620" spans="3:3">
      <c r="C4620">
        <v>106029</v>
      </c>
    </row>
    <row r="4621" spans="3:3">
      <c r="C4621">
        <v>106052</v>
      </c>
    </row>
    <row r="4622" spans="3:3">
      <c r="C4622">
        <v>106075</v>
      </c>
    </row>
    <row r="4623" spans="3:3">
      <c r="C4623">
        <v>106098</v>
      </c>
    </row>
    <row r="4624" spans="3:3">
      <c r="C4624">
        <v>106121</v>
      </c>
    </row>
    <row r="4625" spans="3:3">
      <c r="C4625">
        <v>106144</v>
      </c>
    </row>
    <row r="4626" spans="3:3">
      <c r="C4626">
        <v>106167</v>
      </c>
    </row>
    <row r="4627" spans="3:3">
      <c r="C4627">
        <v>106190</v>
      </c>
    </row>
    <row r="4628" spans="3:3">
      <c r="C4628">
        <v>106213</v>
      </c>
    </row>
    <row r="4629" spans="3:3">
      <c r="C4629">
        <v>106237</v>
      </c>
    </row>
    <row r="4630" spans="3:3">
      <c r="C4630">
        <v>106260</v>
      </c>
    </row>
    <row r="4631" spans="3:3">
      <c r="C4631">
        <v>106283</v>
      </c>
    </row>
    <row r="4632" spans="3:3">
      <c r="C4632">
        <v>106306</v>
      </c>
    </row>
    <row r="4633" spans="3:3">
      <c r="C4633">
        <v>106329</v>
      </c>
    </row>
    <row r="4634" spans="3:3">
      <c r="C4634">
        <v>106352</v>
      </c>
    </row>
    <row r="4635" spans="3:3">
      <c r="C4635">
        <v>106375</v>
      </c>
    </row>
    <row r="4636" spans="3:3">
      <c r="C4636">
        <v>106398</v>
      </c>
    </row>
    <row r="4637" spans="3:3">
      <c r="C4637">
        <v>106421</v>
      </c>
    </row>
    <row r="4638" spans="3:3">
      <c r="C4638">
        <v>106444</v>
      </c>
    </row>
    <row r="4639" spans="3:3">
      <c r="C4639">
        <v>106467</v>
      </c>
    </row>
    <row r="4640" spans="3:3">
      <c r="C4640">
        <v>106490</v>
      </c>
    </row>
    <row r="4641" spans="3:3">
      <c r="C4641">
        <v>106513</v>
      </c>
    </row>
    <row r="4642" spans="3:3">
      <c r="C4642">
        <v>106537</v>
      </c>
    </row>
    <row r="4643" spans="3:3">
      <c r="C4643">
        <v>106560</v>
      </c>
    </row>
    <row r="4644" spans="3:3">
      <c r="C4644">
        <v>106583</v>
      </c>
    </row>
    <row r="4645" spans="3:3">
      <c r="C4645">
        <v>106606</v>
      </c>
    </row>
    <row r="4646" spans="3:3">
      <c r="C4646">
        <v>106629</v>
      </c>
    </row>
    <row r="4647" spans="3:3">
      <c r="C4647">
        <v>106652</v>
      </c>
    </row>
    <row r="4648" spans="3:3">
      <c r="C4648">
        <v>106675</v>
      </c>
    </row>
    <row r="4649" spans="3:3">
      <c r="C4649">
        <v>106698</v>
      </c>
    </row>
    <row r="4650" spans="3:3">
      <c r="C4650">
        <v>106721</v>
      </c>
    </row>
    <row r="4651" spans="3:3">
      <c r="C4651">
        <v>106744</v>
      </c>
    </row>
    <row r="4652" spans="3:3">
      <c r="C4652">
        <v>106767</v>
      </c>
    </row>
    <row r="4653" spans="3:3">
      <c r="C4653">
        <v>106790</v>
      </c>
    </row>
    <row r="4654" spans="3:3">
      <c r="C4654">
        <v>106813</v>
      </c>
    </row>
    <row r="4655" spans="3:3">
      <c r="C4655">
        <v>106837</v>
      </c>
    </row>
    <row r="4656" spans="3:3">
      <c r="C4656">
        <v>106860</v>
      </c>
    </row>
    <row r="4657" spans="3:3">
      <c r="C4657">
        <v>106883</v>
      </c>
    </row>
    <row r="4658" spans="3:3">
      <c r="C4658">
        <v>106906</v>
      </c>
    </row>
    <row r="4659" spans="3:3">
      <c r="C4659">
        <v>106929</v>
      </c>
    </row>
    <row r="4660" spans="3:3">
      <c r="C4660">
        <v>106952</v>
      </c>
    </row>
    <row r="4661" spans="3:3">
      <c r="C4661">
        <v>106975</v>
      </c>
    </row>
    <row r="4662" spans="3:3">
      <c r="C4662">
        <v>106998</v>
      </c>
    </row>
    <row r="4663" spans="3:3">
      <c r="C4663">
        <v>107021</v>
      </c>
    </row>
    <row r="4664" spans="3:3">
      <c r="C4664">
        <v>107044</v>
      </c>
    </row>
    <row r="4665" spans="3:3">
      <c r="C4665">
        <v>107067</v>
      </c>
    </row>
    <row r="4666" spans="3:3">
      <c r="C4666">
        <v>107090</v>
      </c>
    </row>
    <row r="4667" spans="3:3">
      <c r="C4667">
        <v>107113</v>
      </c>
    </row>
    <row r="4668" spans="3:3">
      <c r="C4668">
        <v>107137</v>
      </c>
    </row>
    <row r="4669" spans="3:3">
      <c r="C4669">
        <v>107160</v>
      </c>
    </row>
    <row r="4670" spans="3:3">
      <c r="C4670">
        <v>107183</v>
      </c>
    </row>
    <row r="4671" spans="3:3">
      <c r="C4671">
        <v>107206</v>
      </c>
    </row>
    <row r="4672" spans="3:3">
      <c r="C4672">
        <v>107229</v>
      </c>
    </row>
    <row r="4673" spans="3:3">
      <c r="C4673">
        <v>107252</v>
      </c>
    </row>
    <row r="4674" spans="3:3">
      <c r="C4674">
        <v>107275</v>
      </c>
    </row>
    <row r="4675" spans="3:3">
      <c r="C4675">
        <v>107298</v>
      </c>
    </row>
    <row r="4676" spans="3:3">
      <c r="C4676">
        <v>107321</v>
      </c>
    </row>
    <row r="4677" spans="3:3">
      <c r="C4677">
        <v>107344</v>
      </c>
    </row>
    <row r="4678" spans="3:3">
      <c r="C4678">
        <v>107367</v>
      </c>
    </row>
    <row r="4679" spans="3:3">
      <c r="C4679">
        <v>107390</v>
      </c>
    </row>
    <row r="4680" spans="3:3">
      <c r="C4680">
        <v>107413</v>
      </c>
    </row>
    <row r="4681" spans="3:3">
      <c r="C4681">
        <v>107437</v>
      </c>
    </row>
    <row r="4682" spans="3:3">
      <c r="C4682">
        <v>107460</v>
      </c>
    </row>
    <row r="4683" spans="3:3">
      <c r="C4683">
        <v>107483</v>
      </c>
    </row>
    <row r="4684" spans="3:3">
      <c r="C4684">
        <v>107506</v>
      </c>
    </row>
    <row r="4685" spans="3:3">
      <c r="C4685">
        <v>107529</v>
      </c>
    </row>
    <row r="4686" spans="3:3">
      <c r="C4686">
        <v>107552</v>
      </c>
    </row>
    <row r="4687" spans="3:3">
      <c r="C4687">
        <v>107575</v>
      </c>
    </row>
    <row r="4688" spans="3:3">
      <c r="C4688">
        <v>107598</v>
      </c>
    </row>
    <row r="4689" spans="3:3">
      <c r="C4689">
        <v>107621</v>
      </c>
    </row>
    <row r="4690" spans="3:3">
      <c r="C4690">
        <v>107644</v>
      </c>
    </row>
    <row r="4691" spans="3:3">
      <c r="C4691">
        <v>107667</v>
      </c>
    </row>
    <row r="4692" spans="3:3">
      <c r="C4692">
        <v>107690</v>
      </c>
    </row>
    <row r="4693" spans="3:3">
      <c r="C4693">
        <v>107713</v>
      </c>
    </row>
    <row r="4694" spans="3:3">
      <c r="C4694">
        <v>107737</v>
      </c>
    </row>
    <row r="4695" spans="3:3">
      <c r="C4695">
        <v>107760</v>
      </c>
    </row>
    <row r="4696" spans="3:3">
      <c r="C4696">
        <v>107783</v>
      </c>
    </row>
    <row r="4697" spans="3:3">
      <c r="C4697">
        <v>107806</v>
      </c>
    </row>
    <row r="4698" spans="3:3">
      <c r="C4698">
        <v>107829</v>
      </c>
    </row>
    <row r="4699" spans="3:3">
      <c r="C4699">
        <v>107852</v>
      </c>
    </row>
    <row r="4700" spans="3:3">
      <c r="C4700">
        <v>107875</v>
      </c>
    </row>
    <row r="4701" spans="3:3">
      <c r="C4701">
        <v>107898</v>
      </c>
    </row>
    <row r="4702" spans="3:3">
      <c r="C4702">
        <v>107921</v>
      </c>
    </row>
    <row r="4703" spans="3:3">
      <c r="C4703">
        <v>107944</v>
      </c>
    </row>
    <row r="4704" spans="3:3">
      <c r="C4704">
        <v>107967</v>
      </c>
    </row>
    <row r="4705" spans="3:3">
      <c r="C4705">
        <v>107990</v>
      </c>
    </row>
    <row r="4706" spans="3:3">
      <c r="C4706">
        <v>108013</v>
      </c>
    </row>
    <row r="4707" spans="3:3">
      <c r="C4707">
        <v>108037</v>
      </c>
    </row>
    <row r="4708" spans="3:3">
      <c r="C4708">
        <v>108060</v>
      </c>
    </row>
    <row r="4709" spans="3:3">
      <c r="C4709">
        <v>108083</v>
      </c>
    </row>
    <row r="4710" spans="3:3">
      <c r="C4710">
        <v>108106</v>
      </c>
    </row>
    <row r="4711" spans="3:3">
      <c r="C4711">
        <v>108129</v>
      </c>
    </row>
    <row r="4712" spans="3:3">
      <c r="C4712">
        <v>108152</v>
      </c>
    </row>
    <row r="4713" spans="3:3">
      <c r="C4713">
        <v>108175</v>
      </c>
    </row>
    <row r="4714" spans="3:3">
      <c r="C4714">
        <v>108198</v>
      </c>
    </row>
    <row r="4715" spans="3:3">
      <c r="C4715">
        <v>108221</v>
      </c>
    </row>
    <row r="4716" spans="3:3">
      <c r="C4716">
        <v>108244</v>
      </c>
    </row>
    <row r="4717" spans="3:3">
      <c r="C4717">
        <v>108267</v>
      </c>
    </row>
    <row r="4718" spans="3:3">
      <c r="C4718">
        <v>108290</v>
      </c>
    </row>
    <row r="4719" spans="3:3">
      <c r="C4719">
        <v>108313</v>
      </c>
    </row>
    <row r="4720" spans="3:3">
      <c r="C4720">
        <v>108337</v>
      </c>
    </row>
    <row r="4721" spans="3:3">
      <c r="C4721">
        <v>108360</v>
      </c>
    </row>
    <row r="4722" spans="3:3">
      <c r="C4722">
        <v>108383</v>
      </c>
    </row>
    <row r="4723" spans="3:3">
      <c r="C4723">
        <v>108406</v>
      </c>
    </row>
    <row r="4724" spans="3:3">
      <c r="C4724">
        <v>108429</v>
      </c>
    </row>
    <row r="4725" spans="3:3">
      <c r="C4725">
        <v>108452</v>
      </c>
    </row>
    <row r="4726" spans="3:3">
      <c r="C4726">
        <v>108475</v>
      </c>
    </row>
    <row r="4727" spans="3:3">
      <c r="C4727">
        <v>108498</v>
      </c>
    </row>
    <row r="4728" spans="3:3">
      <c r="C4728">
        <v>108521</v>
      </c>
    </row>
    <row r="4729" spans="3:3">
      <c r="C4729">
        <v>108544</v>
      </c>
    </row>
    <row r="4730" spans="3:3">
      <c r="C4730">
        <v>108567</v>
      </c>
    </row>
    <row r="4731" spans="3:3">
      <c r="C4731">
        <v>108590</v>
      </c>
    </row>
    <row r="4732" spans="3:3">
      <c r="C4732">
        <v>108613</v>
      </c>
    </row>
    <row r="4733" spans="3:3">
      <c r="C4733">
        <v>108637</v>
      </c>
    </row>
    <row r="4734" spans="3:3">
      <c r="C4734">
        <v>108660</v>
      </c>
    </row>
    <row r="4735" spans="3:3">
      <c r="C4735">
        <v>108683</v>
      </c>
    </row>
    <row r="4736" spans="3:3">
      <c r="C4736">
        <v>108706</v>
      </c>
    </row>
    <row r="4737" spans="3:3">
      <c r="C4737">
        <v>108729</v>
      </c>
    </row>
    <row r="4738" spans="3:3">
      <c r="C4738">
        <v>108752</v>
      </c>
    </row>
    <row r="4739" spans="3:3">
      <c r="C4739">
        <v>108775</v>
      </c>
    </row>
    <row r="4740" spans="3:3">
      <c r="C4740">
        <v>108798</v>
      </c>
    </row>
    <row r="4741" spans="3:3">
      <c r="C4741">
        <v>108821</v>
      </c>
    </row>
    <row r="4742" spans="3:3">
      <c r="C4742">
        <v>108844</v>
      </c>
    </row>
    <row r="4743" spans="3:3">
      <c r="C4743">
        <v>108867</v>
      </c>
    </row>
    <row r="4744" spans="3:3">
      <c r="C4744">
        <v>108890</v>
      </c>
    </row>
    <row r="4745" spans="3:3">
      <c r="C4745">
        <v>108913</v>
      </c>
    </row>
    <row r="4746" spans="3:3">
      <c r="C4746">
        <v>108937</v>
      </c>
    </row>
    <row r="4747" spans="3:3">
      <c r="C4747">
        <v>108960</v>
      </c>
    </row>
    <row r="4748" spans="3:3">
      <c r="C4748">
        <v>108983</v>
      </c>
    </row>
    <row r="4749" spans="3:3">
      <c r="C4749">
        <v>109006</v>
      </c>
    </row>
    <row r="4750" spans="3:3">
      <c r="C4750">
        <v>109029</v>
      </c>
    </row>
    <row r="4751" spans="3:3">
      <c r="C4751">
        <v>109052</v>
      </c>
    </row>
    <row r="4752" spans="3:3">
      <c r="C4752">
        <v>109075</v>
      </c>
    </row>
    <row r="4753" spans="3:3">
      <c r="C4753">
        <v>109098</v>
      </c>
    </row>
    <row r="4754" spans="3:3">
      <c r="C4754">
        <v>109121</v>
      </c>
    </row>
    <row r="4755" spans="3:3">
      <c r="C4755">
        <v>109144</v>
      </c>
    </row>
    <row r="4756" spans="3:3">
      <c r="C4756">
        <v>109167</v>
      </c>
    </row>
    <row r="4757" spans="3:3">
      <c r="C4757">
        <v>109190</v>
      </c>
    </row>
    <row r="4758" spans="3:3">
      <c r="C4758">
        <v>109213</v>
      </c>
    </row>
    <row r="4759" spans="3:3">
      <c r="C4759">
        <v>109237</v>
      </c>
    </row>
    <row r="4760" spans="3:3">
      <c r="C4760">
        <v>109260</v>
      </c>
    </row>
    <row r="4761" spans="3:3">
      <c r="C4761">
        <v>109283</v>
      </c>
    </row>
    <row r="4762" spans="3:3">
      <c r="C4762">
        <v>109306</v>
      </c>
    </row>
    <row r="4763" spans="3:3">
      <c r="C4763">
        <v>109329</v>
      </c>
    </row>
    <row r="4764" spans="3:3">
      <c r="C4764">
        <v>109352</v>
      </c>
    </row>
    <row r="4765" spans="3:3">
      <c r="C4765">
        <v>109375</v>
      </c>
    </row>
    <row r="4766" spans="3:3">
      <c r="C4766">
        <v>109398</v>
      </c>
    </row>
    <row r="4767" spans="3:3">
      <c r="C4767">
        <v>109421</v>
      </c>
    </row>
    <row r="4768" spans="3:3">
      <c r="C4768">
        <v>109444</v>
      </c>
    </row>
    <row r="4769" spans="3:3">
      <c r="C4769">
        <v>109467</v>
      </c>
    </row>
    <row r="4770" spans="3:3">
      <c r="C4770">
        <v>109490</v>
      </c>
    </row>
    <row r="4771" spans="3:3">
      <c r="C4771">
        <v>109513</v>
      </c>
    </row>
    <row r="4772" spans="3:3">
      <c r="C4772">
        <v>109537</v>
      </c>
    </row>
    <row r="4773" spans="3:3">
      <c r="C4773">
        <v>109560</v>
      </c>
    </row>
    <row r="4774" spans="3:3">
      <c r="C4774">
        <v>109583</v>
      </c>
    </row>
    <row r="4775" spans="3:3">
      <c r="C4775">
        <v>109606</v>
      </c>
    </row>
    <row r="4776" spans="3:3">
      <c r="C4776">
        <v>109629</v>
      </c>
    </row>
    <row r="4777" spans="3:3">
      <c r="C4777">
        <v>109652</v>
      </c>
    </row>
    <row r="4778" spans="3:3">
      <c r="C4778">
        <v>109675</v>
      </c>
    </row>
    <row r="4779" spans="3:3">
      <c r="C4779">
        <v>109698</v>
      </c>
    </row>
    <row r="4780" spans="3:3">
      <c r="C4780">
        <v>109721</v>
      </c>
    </row>
    <row r="4781" spans="3:3">
      <c r="C4781">
        <v>109744</v>
      </c>
    </row>
    <row r="4782" spans="3:3">
      <c r="C4782">
        <v>109767</v>
      </c>
    </row>
    <row r="4783" spans="3:3">
      <c r="C4783">
        <v>109790</v>
      </c>
    </row>
    <row r="4784" spans="3:3">
      <c r="C4784">
        <v>109813</v>
      </c>
    </row>
    <row r="4785" spans="3:3">
      <c r="C4785">
        <v>109837</v>
      </c>
    </row>
    <row r="4786" spans="3:3">
      <c r="C4786">
        <v>109860</v>
      </c>
    </row>
    <row r="4787" spans="3:3">
      <c r="C4787">
        <v>109883</v>
      </c>
    </row>
    <row r="4788" spans="3:3">
      <c r="C4788">
        <v>109906</v>
      </c>
    </row>
    <row r="4789" spans="3:3">
      <c r="C4789">
        <v>109929</v>
      </c>
    </row>
    <row r="4790" spans="3:3">
      <c r="C4790">
        <v>109952</v>
      </c>
    </row>
    <row r="4791" spans="3:3">
      <c r="C4791">
        <v>109975</v>
      </c>
    </row>
    <row r="4792" spans="3:3">
      <c r="C4792">
        <v>109998</v>
      </c>
    </row>
    <row r="4793" spans="3:3">
      <c r="C4793">
        <v>110021</v>
      </c>
    </row>
    <row r="4794" spans="3:3">
      <c r="C4794">
        <v>110044</v>
      </c>
    </row>
    <row r="4795" spans="3:3">
      <c r="C4795">
        <v>110067</v>
      </c>
    </row>
    <row r="4796" spans="3:3">
      <c r="C4796">
        <v>110090</v>
      </c>
    </row>
    <row r="4797" spans="3:3">
      <c r="C4797">
        <v>110113</v>
      </c>
    </row>
    <row r="4798" spans="3:3">
      <c r="C4798">
        <v>110137</v>
      </c>
    </row>
    <row r="4799" spans="3:3">
      <c r="C4799">
        <v>110160</v>
      </c>
    </row>
    <row r="4800" spans="3:3">
      <c r="C4800">
        <v>110183</v>
      </c>
    </row>
    <row r="4801" spans="3:3">
      <c r="C4801">
        <v>110206</v>
      </c>
    </row>
    <row r="4802" spans="3:3">
      <c r="C4802">
        <v>110229</v>
      </c>
    </row>
    <row r="4803" spans="3:3">
      <c r="C4803">
        <v>110252</v>
      </c>
    </row>
    <row r="4804" spans="3:3">
      <c r="C4804">
        <v>110275</v>
      </c>
    </row>
    <row r="4805" spans="3:3">
      <c r="C4805">
        <v>110298</v>
      </c>
    </row>
    <row r="4806" spans="3:3">
      <c r="C4806">
        <v>110321</v>
      </c>
    </row>
    <row r="4807" spans="3:3">
      <c r="C4807">
        <v>110344</v>
      </c>
    </row>
    <row r="4808" spans="3:3">
      <c r="C4808">
        <v>110367</v>
      </c>
    </row>
    <row r="4809" spans="3:3">
      <c r="C4809">
        <v>110390</v>
      </c>
    </row>
    <row r="4810" spans="3:3">
      <c r="C4810">
        <v>110413</v>
      </c>
    </row>
    <row r="4811" spans="3:3">
      <c r="C4811">
        <v>110437</v>
      </c>
    </row>
    <row r="4812" spans="3:3">
      <c r="C4812">
        <v>110460</v>
      </c>
    </row>
    <row r="4813" spans="3:3">
      <c r="C4813">
        <v>110483</v>
      </c>
    </row>
    <row r="4814" spans="3:3">
      <c r="C4814">
        <v>110506</v>
      </c>
    </row>
    <row r="4815" spans="3:3">
      <c r="C4815">
        <v>110529</v>
      </c>
    </row>
    <row r="4816" spans="3:3">
      <c r="C4816">
        <v>110552</v>
      </c>
    </row>
    <row r="4817" spans="3:3">
      <c r="C4817">
        <v>110575</v>
      </c>
    </row>
    <row r="4818" spans="3:3">
      <c r="C4818">
        <v>110598</v>
      </c>
    </row>
    <row r="4819" spans="3:3">
      <c r="C4819">
        <v>110621</v>
      </c>
    </row>
    <row r="4820" spans="3:3">
      <c r="C4820">
        <v>110644</v>
      </c>
    </row>
    <row r="4821" spans="3:3">
      <c r="C4821">
        <v>110667</v>
      </c>
    </row>
    <row r="4822" spans="3:3">
      <c r="C4822">
        <v>110690</v>
      </c>
    </row>
    <row r="4823" spans="3:3">
      <c r="C4823">
        <v>110713</v>
      </c>
    </row>
    <row r="4824" spans="3:3">
      <c r="C4824">
        <v>110737</v>
      </c>
    </row>
    <row r="4825" spans="3:3">
      <c r="C4825">
        <v>110760</v>
      </c>
    </row>
    <row r="4826" spans="3:3">
      <c r="C4826">
        <v>110783</v>
      </c>
    </row>
    <row r="4827" spans="3:3">
      <c r="C4827">
        <v>110806</v>
      </c>
    </row>
    <row r="4828" spans="3:3">
      <c r="C4828">
        <v>110829</v>
      </c>
    </row>
    <row r="4829" spans="3:3">
      <c r="C4829">
        <v>110852</v>
      </c>
    </row>
    <row r="4830" spans="3:3">
      <c r="C4830">
        <v>110875</v>
      </c>
    </row>
    <row r="4831" spans="3:3">
      <c r="C4831">
        <v>110898</v>
      </c>
    </row>
    <row r="4832" spans="3:3">
      <c r="C4832">
        <v>110921</v>
      </c>
    </row>
    <row r="4833" spans="3:3">
      <c r="C4833">
        <v>110944</v>
      </c>
    </row>
    <row r="4834" spans="3:3">
      <c r="C4834">
        <v>110967</v>
      </c>
    </row>
    <row r="4835" spans="3:3">
      <c r="C4835">
        <v>110990</v>
      </c>
    </row>
    <row r="4836" spans="3:3">
      <c r="C4836">
        <v>111013</v>
      </c>
    </row>
    <row r="4837" spans="3:3">
      <c r="C4837">
        <v>111037</v>
      </c>
    </row>
    <row r="4838" spans="3:3">
      <c r="C4838">
        <v>111060</v>
      </c>
    </row>
    <row r="4839" spans="3:3">
      <c r="C4839">
        <v>111083</v>
      </c>
    </row>
    <row r="4840" spans="3:3">
      <c r="C4840">
        <v>111106</v>
      </c>
    </row>
    <row r="4841" spans="3:3">
      <c r="C4841">
        <v>111129</v>
      </c>
    </row>
    <row r="4842" spans="3:3">
      <c r="C4842">
        <v>111152</v>
      </c>
    </row>
    <row r="4843" spans="3:3">
      <c r="C4843">
        <v>111175</v>
      </c>
    </row>
    <row r="4844" spans="3:3">
      <c r="C4844">
        <v>111198</v>
      </c>
    </row>
    <row r="4845" spans="3:3">
      <c r="C4845">
        <v>111221</v>
      </c>
    </row>
    <row r="4846" spans="3:3">
      <c r="C4846">
        <v>111244</v>
      </c>
    </row>
    <row r="4847" spans="3:3">
      <c r="C4847">
        <v>111267</v>
      </c>
    </row>
    <row r="4848" spans="3:3">
      <c r="C4848">
        <v>111290</v>
      </c>
    </row>
    <row r="4849" spans="3:3">
      <c r="C4849">
        <v>111313</v>
      </c>
    </row>
    <row r="4850" spans="3:3">
      <c r="C4850">
        <v>111337</v>
      </c>
    </row>
    <row r="4851" spans="3:3">
      <c r="C4851">
        <v>111360</v>
      </c>
    </row>
    <row r="4852" spans="3:3">
      <c r="C4852">
        <v>111383</v>
      </c>
    </row>
    <row r="4853" spans="3:3">
      <c r="C4853">
        <v>111406</v>
      </c>
    </row>
    <row r="4854" spans="3:3">
      <c r="C4854">
        <v>111429</v>
      </c>
    </row>
    <row r="4855" spans="3:3">
      <c r="C4855">
        <v>111452</v>
      </c>
    </row>
    <row r="4856" spans="3:3">
      <c r="C4856">
        <v>111475</v>
      </c>
    </row>
    <row r="4857" spans="3:3">
      <c r="C4857">
        <v>111498</v>
      </c>
    </row>
    <row r="4858" spans="3:3">
      <c r="C4858">
        <v>111521</v>
      </c>
    </row>
    <row r="4859" spans="3:3">
      <c r="C4859">
        <v>111544</v>
      </c>
    </row>
    <row r="4860" spans="3:3">
      <c r="C4860">
        <v>111567</v>
      </c>
    </row>
    <row r="4861" spans="3:3">
      <c r="C4861">
        <v>111590</v>
      </c>
    </row>
    <row r="4862" spans="3:3">
      <c r="C4862">
        <v>111613</v>
      </c>
    </row>
    <row r="4863" spans="3:3">
      <c r="C4863">
        <v>111637</v>
      </c>
    </row>
    <row r="4864" spans="3:3">
      <c r="C4864">
        <v>111660</v>
      </c>
    </row>
    <row r="4865" spans="3:3">
      <c r="C4865">
        <v>111683</v>
      </c>
    </row>
    <row r="4866" spans="3:3">
      <c r="C4866">
        <v>111706</v>
      </c>
    </row>
    <row r="4867" spans="3:3">
      <c r="C4867">
        <v>111729</v>
      </c>
    </row>
    <row r="4868" spans="3:3">
      <c r="C4868">
        <v>111752</v>
      </c>
    </row>
    <row r="4869" spans="3:3">
      <c r="C4869">
        <v>111775</v>
      </c>
    </row>
    <row r="4870" spans="3:3">
      <c r="C4870">
        <v>111798</v>
      </c>
    </row>
    <row r="4871" spans="3:3">
      <c r="C4871">
        <v>111821</v>
      </c>
    </row>
    <row r="4872" spans="3:3">
      <c r="C4872">
        <v>111844</v>
      </c>
    </row>
    <row r="4873" spans="3:3">
      <c r="C4873">
        <v>111867</v>
      </c>
    </row>
    <row r="4874" spans="3:3">
      <c r="C4874">
        <v>111890</v>
      </c>
    </row>
    <row r="4875" spans="3:3">
      <c r="C4875">
        <v>111913</v>
      </c>
    </row>
    <row r="4876" spans="3:3">
      <c r="C4876">
        <v>111937</v>
      </c>
    </row>
    <row r="4877" spans="3:3">
      <c r="C4877">
        <v>111960</v>
      </c>
    </row>
    <row r="4878" spans="3:3">
      <c r="C4878">
        <v>111983</v>
      </c>
    </row>
    <row r="4879" spans="3:3">
      <c r="C4879">
        <v>112006</v>
      </c>
    </row>
    <row r="4880" spans="3:3">
      <c r="C4880">
        <v>112029</v>
      </c>
    </row>
    <row r="4881" spans="3:3">
      <c r="C4881">
        <v>112052</v>
      </c>
    </row>
    <row r="4882" spans="3:3">
      <c r="C4882">
        <v>112075</v>
      </c>
    </row>
    <row r="4883" spans="3:3">
      <c r="C4883">
        <v>112098</v>
      </c>
    </row>
    <row r="4884" spans="3:3">
      <c r="C4884">
        <v>112121</v>
      </c>
    </row>
    <row r="4885" spans="3:3">
      <c r="C4885">
        <v>112144</v>
      </c>
    </row>
    <row r="4886" spans="3:3">
      <c r="C4886">
        <v>112167</v>
      </c>
    </row>
    <row r="4887" spans="3:3">
      <c r="C4887">
        <v>112190</v>
      </c>
    </row>
    <row r="4888" spans="3:3">
      <c r="C4888">
        <v>112213</v>
      </c>
    </row>
    <row r="4889" spans="3:3">
      <c r="C4889">
        <v>112237</v>
      </c>
    </row>
    <row r="4890" spans="3:3">
      <c r="C4890">
        <v>112260</v>
      </c>
    </row>
    <row r="4891" spans="3:3">
      <c r="C4891">
        <v>112283</v>
      </c>
    </row>
    <row r="4892" spans="3:3">
      <c r="C4892">
        <v>112306</v>
      </c>
    </row>
    <row r="4893" spans="3:3">
      <c r="C4893">
        <v>112329</v>
      </c>
    </row>
    <row r="4894" spans="3:3">
      <c r="C4894">
        <v>112352</v>
      </c>
    </row>
    <row r="4895" spans="3:3">
      <c r="C4895">
        <v>112375</v>
      </c>
    </row>
    <row r="4896" spans="3:3">
      <c r="C4896">
        <v>112398</v>
      </c>
    </row>
    <row r="4897" spans="3:3">
      <c r="C4897">
        <v>112421</v>
      </c>
    </row>
    <row r="4898" spans="3:3">
      <c r="C4898">
        <v>112444</v>
      </c>
    </row>
    <row r="4899" spans="3:3">
      <c r="C4899">
        <v>112467</v>
      </c>
    </row>
    <row r="4900" spans="3:3">
      <c r="C4900">
        <v>112490</v>
      </c>
    </row>
    <row r="4901" spans="3:3">
      <c r="C4901">
        <v>112513</v>
      </c>
    </row>
    <row r="4902" spans="3:3">
      <c r="C4902">
        <v>112537</v>
      </c>
    </row>
    <row r="4903" spans="3:3">
      <c r="C4903">
        <v>112560</v>
      </c>
    </row>
    <row r="4904" spans="3:3">
      <c r="C4904">
        <v>112583</v>
      </c>
    </row>
    <row r="4905" spans="3:3">
      <c r="C4905">
        <v>112606</v>
      </c>
    </row>
    <row r="4906" spans="3:3">
      <c r="C4906">
        <v>112629</v>
      </c>
    </row>
    <row r="4907" spans="3:3">
      <c r="C4907">
        <v>112652</v>
      </c>
    </row>
    <row r="4908" spans="3:3">
      <c r="C4908">
        <v>112675</v>
      </c>
    </row>
    <row r="4909" spans="3:3">
      <c r="C4909">
        <v>112698</v>
      </c>
    </row>
    <row r="4910" spans="3:3">
      <c r="C4910">
        <v>112721</v>
      </c>
    </row>
    <row r="4911" spans="3:3">
      <c r="C4911">
        <v>112744</v>
      </c>
    </row>
    <row r="4912" spans="3:3">
      <c r="C4912">
        <v>112767</v>
      </c>
    </row>
    <row r="4913" spans="3:3">
      <c r="C4913">
        <v>112790</v>
      </c>
    </row>
    <row r="4914" spans="3:3">
      <c r="C4914">
        <v>112813</v>
      </c>
    </row>
    <row r="4915" spans="3:3">
      <c r="C4915">
        <v>112837</v>
      </c>
    </row>
    <row r="4916" spans="3:3">
      <c r="C4916">
        <v>112860</v>
      </c>
    </row>
    <row r="4917" spans="3:3">
      <c r="C4917">
        <v>112883</v>
      </c>
    </row>
    <row r="4918" spans="3:3">
      <c r="C4918">
        <v>112906</v>
      </c>
    </row>
    <row r="4919" spans="3:3">
      <c r="C4919">
        <v>112929</v>
      </c>
    </row>
    <row r="4920" spans="3:3">
      <c r="C4920">
        <v>112952</v>
      </c>
    </row>
    <row r="4921" spans="3:3">
      <c r="C4921">
        <v>112975</v>
      </c>
    </row>
    <row r="4922" spans="3:3">
      <c r="C4922">
        <v>112998</v>
      </c>
    </row>
    <row r="4923" spans="3:3">
      <c r="C4923">
        <v>113021</v>
      </c>
    </row>
    <row r="4924" spans="3:3">
      <c r="C4924">
        <v>113044</v>
      </c>
    </row>
    <row r="4925" spans="3:3">
      <c r="C4925">
        <v>113067</v>
      </c>
    </row>
    <row r="4926" spans="3:3">
      <c r="C4926">
        <v>113090</v>
      </c>
    </row>
    <row r="4927" spans="3:3">
      <c r="C4927">
        <v>113113</v>
      </c>
    </row>
    <row r="4928" spans="3:3">
      <c r="C4928">
        <v>113137</v>
      </c>
    </row>
    <row r="4929" spans="3:3">
      <c r="C4929">
        <v>113160</v>
      </c>
    </row>
    <row r="4930" spans="3:3">
      <c r="C4930">
        <v>113183</v>
      </c>
    </row>
    <row r="4931" spans="3:3">
      <c r="C4931">
        <v>113206</v>
      </c>
    </row>
    <row r="4932" spans="3:3">
      <c r="C4932">
        <v>113229</v>
      </c>
    </row>
    <row r="4933" spans="3:3">
      <c r="C4933">
        <v>113252</v>
      </c>
    </row>
    <row r="4934" spans="3:3">
      <c r="C4934">
        <v>113275</v>
      </c>
    </row>
    <row r="4935" spans="3:3">
      <c r="C4935">
        <v>113298</v>
      </c>
    </row>
    <row r="4936" spans="3:3">
      <c r="C4936">
        <v>113321</v>
      </c>
    </row>
    <row r="4937" spans="3:3">
      <c r="C4937">
        <v>113344</v>
      </c>
    </row>
    <row r="4938" spans="3:3">
      <c r="C4938">
        <v>113367</v>
      </c>
    </row>
    <row r="4939" spans="3:3">
      <c r="C4939">
        <v>113390</v>
      </c>
    </row>
    <row r="4940" spans="3:3">
      <c r="C4940">
        <v>113413</v>
      </c>
    </row>
    <row r="4941" spans="3:3">
      <c r="C4941">
        <v>113437</v>
      </c>
    </row>
    <row r="4942" spans="3:3">
      <c r="C4942">
        <v>113460</v>
      </c>
    </row>
    <row r="4943" spans="3:3">
      <c r="C4943">
        <v>113483</v>
      </c>
    </row>
    <row r="4944" spans="3:3">
      <c r="C4944">
        <v>113506</v>
      </c>
    </row>
    <row r="4945" spans="3:3">
      <c r="C4945">
        <v>113529</v>
      </c>
    </row>
    <row r="4946" spans="3:3">
      <c r="C4946">
        <v>113552</v>
      </c>
    </row>
    <row r="4947" spans="3:3">
      <c r="C4947">
        <v>113575</v>
      </c>
    </row>
    <row r="4948" spans="3:3">
      <c r="C4948">
        <v>113598</v>
      </c>
    </row>
    <row r="4949" spans="3:3">
      <c r="C4949">
        <v>113621</v>
      </c>
    </row>
    <row r="4950" spans="3:3">
      <c r="C4950">
        <v>113644</v>
      </c>
    </row>
    <row r="4951" spans="3:3">
      <c r="C4951">
        <v>113667</v>
      </c>
    </row>
    <row r="4952" spans="3:3">
      <c r="C4952">
        <v>113690</v>
      </c>
    </row>
    <row r="4953" spans="3:3">
      <c r="C4953">
        <v>113713</v>
      </c>
    </row>
    <row r="4954" spans="3:3">
      <c r="C4954">
        <v>113737</v>
      </c>
    </row>
    <row r="4955" spans="3:3">
      <c r="C4955">
        <v>113760</v>
      </c>
    </row>
    <row r="4956" spans="3:3">
      <c r="C4956">
        <v>113783</v>
      </c>
    </row>
    <row r="4957" spans="3:3">
      <c r="C4957">
        <v>113806</v>
      </c>
    </row>
    <row r="4958" spans="3:3">
      <c r="C4958">
        <v>113829</v>
      </c>
    </row>
    <row r="4959" spans="3:3">
      <c r="C4959">
        <v>113852</v>
      </c>
    </row>
    <row r="4960" spans="3:3">
      <c r="C4960">
        <v>113875</v>
      </c>
    </row>
    <row r="4961" spans="3:3">
      <c r="C4961">
        <v>113898</v>
      </c>
    </row>
    <row r="4962" spans="3:3">
      <c r="C4962">
        <v>113921</v>
      </c>
    </row>
    <row r="4963" spans="3:3">
      <c r="C4963">
        <v>113944</v>
      </c>
    </row>
    <row r="4964" spans="3:3">
      <c r="C4964">
        <v>113967</v>
      </c>
    </row>
    <row r="4965" spans="3:3">
      <c r="C4965">
        <v>113990</v>
      </c>
    </row>
    <row r="4966" spans="3:3">
      <c r="C4966">
        <v>114013</v>
      </c>
    </row>
    <row r="4967" spans="3:3">
      <c r="C4967">
        <v>114037</v>
      </c>
    </row>
    <row r="4968" spans="3:3">
      <c r="C4968">
        <v>114060</v>
      </c>
    </row>
    <row r="4969" spans="3:3">
      <c r="C4969">
        <v>114083</v>
      </c>
    </row>
    <row r="4970" spans="3:3">
      <c r="C4970">
        <v>114106</v>
      </c>
    </row>
    <row r="4971" spans="3:3">
      <c r="C4971">
        <v>114129</v>
      </c>
    </row>
    <row r="4972" spans="3:3">
      <c r="C4972">
        <v>114152</v>
      </c>
    </row>
    <row r="4973" spans="3:3">
      <c r="C4973">
        <v>114175</v>
      </c>
    </row>
    <row r="4974" spans="3:3">
      <c r="C4974">
        <v>114198</v>
      </c>
    </row>
    <row r="4975" spans="3:3">
      <c r="C4975">
        <v>114221</v>
      </c>
    </row>
    <row r="4976" spans="3:3">
      <c r="C4976">
        <v>114244</v>
      </c>
    </row>
    <row r="4977" spans="3:3">
      <c r="C4977">
        <v>114267</v>
      </c>
    </row>
    <row r="4978" spans="3:3">
      <c r="C4978">
        <v>114290</v>
      </c>
    </row>
    <row r="4979" spans="3:3">
      <c r="C4979">
        <v>114313</v>
      </c>
    </row>
    <row r="4980" spans="3:3">
      <c r="C4980">
        <v>114337</v>
      </c>
    </row>
    <row r="4981" spans="3:3">
      <c r="C4981">
        <v>114360</v>
      </c>
    </row>
    <row r="4982" spans="3:3">
      <c r="C4982">
        <v>114383</v>
      </c>
    </row>
    <row r="4983" spans="3:3">
      <c r="C4983">
        <v>114406</v>
      </c>
    </row>
    <row r="4984" spans="3:3">
      <c r="C4984">
        <v>114429</v>
      </c>
    </row>
    <row r="4985" spans="3:3">
      <c r="C4985">
        <v>114452</v>
      </c>
    </row>
    <row r="4986" spans="3:3">
      <c r="C4986">
        <v>114475</v>
      </c>
    </row>
    <row r="4987" spans="3:3">
      <c r="C4987">
        <v>114498</v>
      </c>
    </row>
    <row r="4988" spans="3:3">
      <c r="C4988">
        <v>114521</v>
      </c>
    </row>
    <row r="4989" spans="3:3">
      <c r="C4989">
        <v>114544</v>
      </c>
    </row>
    <row r="4990" spans="3:3">
      <c r="C4990">
        <v>114567</v>
      </c>
    </row>
    <row r="4991" spans="3:3">
      <c r="C4991">
        <v>114590</v>
      </c>
    </row>
    <row r="4992" spans="3:3">
      <c r="C4992">
        <v>114613</v>
      </c>
    </row>
    <row r="4993" spans="3:3">
      <c r="C4993">
        <v>114637</v>
      </c>
    </row>
    <row r="4994" spans="3:3">
      <c r="C4994">
        <v>114660</v>
      </c>
    </row>
    <row r="4995" spans="3:3">
      <c r="C4995">
        <v>114683</v>
      </c>
    </row>
    <row r="4996" spans="3:3">
      <c r="C4996">
        <v>114706</v>
      </c>
    </row>
    <row r="4997" spans="3:3">
      <c r="C4997">
        <v>114729</v>
      </c>
    </row>
    <row r="4998" spans="3:3">
      <c r="C4998">
        <v>114752</v>
      </c>
    </row>
    <row r="4999" spans="3:3">
      <c r="C4999">
        <v>114775</v>
      </c>
    </row>
    <row r="5000" spans="3:3">
      <c r="C5000">
        <v>114798</v>
      </c>
    </row>
    <row r="5001" spans="3:3">
      <c r="C5001">
        <v>114821</v>
      </c>
    </row>
    <row r="5002" spans="3:3">
      <c r="C5002">
        <v>114844</v>
      </c>
    </row>
    <row r="5003" spans="3:3">
      <c r="C5003">
        <v>114867</v>
      </c>
    </row>
    <row r="5004" spans="3:3">
      <c r="C5004">
        <v>114890</v>
      </c>
    </row>
    <row r="5005" spans="3:3">
      <c r="C5005">
        <v>114913</v>
      </c>
    </row>
    <row r="5006" spans="3:3">
      <c r="C5006">
        <v>114937</v>
      </c>
    </row>
    <row r="5007" spans="3:3">
      <c r="C5007">
        <v>114960</v>
      </c>
    </row>
    <row r="5008" spans="3:3">
      <c r="C5008">
        <v>114983</v>
      </c>
    </row>
    <row r="5009" spans="3:3">
      <c r="C5009">
        <v>115006</v>
      </c>
    </row>
    <row r="5010" spans="3:3">
      <c r="C5010">
        <v>115029</v>
      </c>
    </row>
    <row r="5011" spans="3:3">
      <c r="C5011">
        <v>115052</v>
      </c>
    </row>
    <row r="5012" spans="3:3">
      <c r="C5012">
        <v>115075</v>
      </c>
    </row>
    <row r="5013" spans="3:3">
      <c r="C5013">
        <v>115098</v>
      </c>
    </row>
    <row r="5014" spans="3:3">
      <c r="C5014">
        <v>115121</v>
      </c>
    </row>
    <row r="5015" spans="3:3">
      <c r="C5015">
        <v>115144</v>
      </c>
    </row>
    <row r="5016" spans="3:3">
      <c r="C5016">
        <v>115167</v>
      </c>
    </row>
    <row r="5017" spans="3:3">
      <c r="C5017">
        <v>115190</v>
      </c>
    </row>
    <row r="5018" spans="3:3">
      <c r="C5018">
        <v>115213</v>
      </c>
    </row>
    <row r="5019" spans="3:3">
      <c r="C5019">
        <v>115237</v>
      </c>
    </row>
    <row r="5020" spans="3:3">
      <c r="C5020">
        <v>115260</v>
      </c>
    </row>
    <row r="5021" spans="3:3">
      <c r="C5021">
        <v>115283</v>
      </c>
    </row>
    <row r="5022" spans="3:3">
      <c r="C5022">
        <v>115306</v>
      </c>
    </row>
    <row r="5023" spans="3:3">
      <c r="C5023">
        <v>115329</v>
      </c>
    </row>
    <row r="5024" spans="3:3">
      <c r="C5024">
        <v>115352</v>
      </c>
    </row>
    <row r="5025" spans="3:3">
      <c r="C5025">
        <v>115375</v>
      </c>
    </row>
    <row r="5026" spans="3:3">
      <c r="C5026">
        <v>115398</v>
      </c>
    </row>
    <row r="5027" spans="3:3">
      <c r="C5027">
        <v>115421</v>
      </c>
    </row>
    <row r="5028" spans="3:3">
      <c r="C5028">
        <v>115444</v>
      </c>
    </row>
    <row r="5029" spans="3:3">
      <c r="C5029">
        <v>115467</v>
      </c>
    </row>
    <row r="5030" spans="3:3">
      <c r="C5030">
        <v>115490</v>
      </c>
    </row>
    <row r="5031" spans="3:3">
      <c r="C5031">
        <v>115513</v>
      </c>
    </row>
    <row r="5032" spans="3:3">
      <c r="C5032">
        <v>115537</v>
      </c>
    </row>
    <row r="5033" spans="3:3">
      <c r="C5033">
        <v>115560</v>
      </c>
    </row>
    <row r="5034" spans="3:3">
      <c r="C5034">
        <v>115583</v>
      </c>
    </row>
    <row r="5035" spans="3:3">
      <c r="C5035">
        <v>115606</v>
      </c>
    </row>
    <row r="5036" spans="3:3">
      <c r="C5036">
        <v>115629</v>
      </c>
    </row>
    <row r="5037" spans="3:3">
      <c r="C5037">
        <v>115652</v>
      </c>
    </row>
    <row r="5038" spans="3:3">
      <c r="C5038">
        <v>115675</v>
      </c>
    </row>
    <row r="5039" spans="3:3">
      <c r="C5039">
        <v>115698</v>
      </c>
    </row>
    <row r="5040" spans="3:3">
      <c r="C5040">
        <v>115721</v>
      </c>
    </row>
    <row r="5041" spans="3:3">
      <c r="C5041">
        <v>115744</v>
      </c>
    </row>
    <row r="5042" spans="3:3">
      <c r="C5042">
        <v>115767</v>
      </c>
    </row>
    <row r="5043" spans="3:3">
      <c r="C5043">
        <v>115790</v>
      </c>
    </row>
    <row r="5044" spans="3:3">
      <c r="C5044">
        <v>115813</v>
      </c>
    </row>
    <row r="5045" spans="3:3">
      <c r="C5045">
        <v>115837</v>
      </c>
    </row>
    <row r="5046" spans="3:3">
      <c r="C5046">
        <v>115860</v>
      </c>
    </row>
    <row r="5047" spans="3:3">
      <c r="C5047">
        <v>115883</v>
      </c>
    </row>
    <row r="5048" spans="3:3">
      <c r="C5048">
        <v>115906</v>
      </c>
    </row>
    <row r="5049" spans="3:3">
      <c r="C5049">
        <v>115929</v>
      </c>
    </row>
    <row r="5050" spans="3:3">
      <c r="C5050">
        <v>115952</v>
      </c>
    </row>
    <row r="5051" spans="3:3">
      <c r="C5051">
        <v>115975</v>
      </c>
    </row>
    <row r="5052" spans="3:3">
      <c r="C5052">
        <v>115998</v>
      </c>
    </row>
    <row r="5053" spans="3:3">
      <c r="C5053">
        <v>116021</v>
      </c>
    </row>
    <row r="5054" spans="3:3">
      <c r="C5054">
        <v>116044</v>
      </c>
    </row>
    <row r="5055" spans="3:3">
      <c r="C5055">
        <v>116067</v>
      </c>
    </row>
    <row r="5056" spans="3:3">
      <c r="C5056">
        <v>116090</v>
      </c>
    </row>
    <row r="5057" spans="3:3">
      <c r="C5057">
        <v>116113</v>
      </c>
    </row>
    <row r="5058" spans="3:3">
      <c r="C5058">
        <v>116137</v>
      </c>
    </row>
    <row r="5059" spans="3:3">
      <c r="C5059">
        <v>116160</v>
      </c>
    </row>
    <row r="5060" spans="3:3">
      <c r="C5060">
        <v>116183</v>
      </c>
    </row>
    <row r="5061" spans="3:3">
      <c r="C5061">
        <v>116206</v>
      </c>
    </row>
    <row r="5062" spans="3:3">
      <c r="C5062">
        <v>116229</v>
      </c>
    </row>
    <row r="5063" spans="3:3">
      <c r="C5063">
        <v>116252</v>
      </c>
    </row>
    <row r="5064" spans="3:3">
      <c r="C5064">
        <v>116275</v>
      </c>
    </row>
    <row r="5065" spans="3:3">
      <c r="C5065">
        <v>116298</v>
      </c>
    </row>
    <row r="5066" spans="3:3">
      <c r="C5066">
        <v>116321</v>
      </c>
    </row>
    <row r="5067" spans="3:3">
      <c r="C5067">
        <v>116344</v>
      </c>
    </row>
    <row r="5068" spans="3:3">
      <c r="C5068">
        <v>116367</v>
      </c>
    </row>
    <row r="5069" spans="3:3">
      <c r="C5069">
        <v>116390</v>
      </c>
    </row>
    <row r="5070" spans="3:3">
      <c r="C5070">
        <v>116413</v>
      </c>
    </row>
    <row r="5071" spans="3:3">
      <c r="C5071">
        <v>116437</v>
      </c>
    </row>
    <row r="5072" spans="3:3">
      <c r="C5072">
        <v>116460</v>
      </c>
    </row>
    <row r="5073" spans="3:3">
      <c r="C5073">
        <v>116483</v>
      </c>
    </row>
    <row r="5074" spans="3:3">
      <c r="C5074">
        <v>116506</v>
      </c>
    </row>
    <row r="5075" spans="3:3">
      <c r="C5075">
        <v>116529</v>
      </c>
    </row>
    <row r="5076" spans="3:3">
      <c r="C5076">
        <v>116552</v>
      </c>
    </row>
    <row r="5077" spans="3:3">
      <c r="C5077">
        <v>116575</v>
      </c>
    </row>
    <row r="5078" spans="3:3">
      <c r="C5078">
        <v>116598</v>
      </c>
    </row>
    <row r="5079" spans="3:3">
      <c r="C5079">
        <v>116621</v>
      </c>
    </row>
    <row r="5080" spans="3:3">
      <c r="C5080">
        <v>116644</v>
      </c>
    </row>
    <row r="5081" spans="3:3">
      <c r="C5081">
        <v>116667</v>
      </c>
    </row>
    <row r="5082" spans="3:3">
      <c r="C5082">
        <v>116690</v>
      </c>
    </row>
    <row r="5083" spans="3:3">
      <c r="C5083">
        <v>116713</v>
      </c>
    </row>
    <row r="5084" spans="3:3">
      <c r="C5084">
        <v>116737</v>
      </c>
    </row>
    <row r="5085" spans="3:3">
      <c r="C5085">
        <v>116760</v>
      </c>
    </row>
    <row r="5086" spans="3:3">
      <c r="C5086">
        <v>116783</v>
      </c>
    </row>
    <row r="5087" spans="3:3">
      <c r="C5087">
        <v>116806</v>
      </c>
    </row>
    <row r="5088" spans="3:3">
      <c r="C5088">
        <v>116829</v>
      </c>
    </row>
    <row r="5089" spans="3:3">
      <c r="C5089">
        <v>116852</v>
      </c>
    </row>
    <row r="5090" spans="3:3">
      <c r="C5090">
        <v>116875</v>
      </c>
    </row>
    <row r="5091" spans="3:3">
      <c r="C5091">
        <v>116898</v>
      </c>
    </row>
    <row r="5092" spans="3:3">
      <c r="C5092">
        <v>116921</v>
      </c>
    </row>
    <row r="5093" spans="3:3">
      <c r="C5093">
        <v>116944</v>
      </c>
    </row>
    <row r="5094" spans="3:3">
      <c r="C5094">
        <v>116967</v>
      </c>
    </row>
    <row r="5095" spans="3:3">
      <c r="C5095">
        <v>116990</v>
      </c>
    </row>
    <row r="5096" spans="3:3">
      <c r="C5096">
        <v>117013</v>
      </c>
    </row>
    <row r="5097" spans="3:3">
      <c r="C5097">
        <v>117037</v>
      </c>
    </row>
    <row r="5098" spans="3:3">
      <c r="C5098">
        <v>117060</v>
      </c>
    </row>
    <row r="5099" spans="3:3">
      <c r="C5099">
        <v>117083</v>
      </c>
    </row>
    <row r="5100" spans="3:3">
      <c r="C5100">
        <v>117106</v>
      </c>
    </row>
    <row r="5101" spans="3:3">
      <c r="C5101">
        <v>117129</v>
      </c>
    </row>
    <row r="5102" spans="3:3">
      <c r="C5102">
        <v>117152</v>
      </c>
    </row>
    <row r="5103" spans="3:3">
      <c r="C5103">
        <v>117175</v>
      </c>
    </row>
    <row r="5104" spans="3:3">
      <c r="C5104">
        <v>117198</v>
      </c>
    </row>
    <row r="5105" spans="3:3">
      <c r="C5105">
        <v>117221</v>
      </c>
    </row>
    <row r="5106" spans="3:3">
      <c r="C5106">
        <v>117244</v>
      </c>
    </row>
    <row r="5107" spans="3:3">
      <c r="C5107">
        <v>117267</v>
      </c>
    </row>
    <row r="5108" spans="3:3">
      <c r="C5108">
        <v>117290</v>
      </c>
    </row>
    <row r="5109" spans="3:3">
      <c r="C5109">
        <v>117313</v>
      </c>
    </row>
    <row r="5110" spans="3:3">
      <c r="C5110">
        <v>117337</v>
      </c>
    </row>
    <row r="5111" spans="3:3">
      <c r="C5111">
        <v>117360</v>
      </c>
    </row>
    <row r="5112" spans="3:3">
      <c r="C5112">
        <v>117383</v>
      </c>
    </row>
    <row r="5113" spans="3:3">
      <c r="C5113">
        <v>117406</v>
      </c>
    </row>
    <row r="5114" spans="3:3">
      <c r="C5114">
        <v>117429</v>
      </c>
    </row>
    <row r="5115" spans="3:3">
      <c r="C5115">
        <v>117452</v>
      </c>
    </row>
    <row r="5116" spans="3:3">
      <c r="C5116">
        <v>117475</v>
      </c>
    </row>
    <row r="5117" spans="3:3">
      <c r="C5117">
        <v>117498</v>
      </c>
    </row>
    <row r="5118" spans="3:3">
      <c r="C5118">
        <v>117521</v>
      </c>
    </row>
    <row r="5119" spans="3:3">
      <c r="C5119">
        <v>117544</v>
      </c>
    </row>
    <row r="5120" spans="3:3">
      <c r="C5120">
        <v>117567</v>
      </c>
    </row>
    <row r="5121" spans="3:3">
      <c r="C5121">
        <v>117590</v>
      </c>
    </row>
    <row r="5122" spans="3:3">
      <c r="C5122">
        <v>117613</v>
      </c>
    </row>
    <row r="5123" spans="3:3">
      <c r="C5123">
        <v>117637</v>
      </c>
    </row>
    <row r="5124" spans="3:3">
      <c r="C5124">
        <v>117660</v>
      </c>
    </row>
    <row r="5125" spans="3:3">
      <c r="C5125">
        <v>117683</v>
      </c>
    </row>
    <row r="5126" spans="3:3">
      <c r="C5126">
        <v>117706</v>
      </c>
    </row>
    <row r="5127" spans="3:3">
      <c r="C5127">
        <v>117729</v>
      </c>
    </row>
    <row r="5128" spans="3:3">
      <c r="C5128">
        <v>117752</v>
      </c>
    </row>
    <row r="5129" spans="3:3">
      <c r="C5129">
        <v>117775</v>
      </c>
    </row>
    <row r="5130" spans="3:3">
      <c r="C5130">
        <v>117798</v>
      </c>
    </row>
    <row r="5131" spans="3:3">
      <c r="C5131">
        <v>117821</v>
      </c>
    </row>
    <row r="5132" spans="3:3">
      <c r="C5132">
        <v>117844</v>
      </c>
    </row>
    <row r="5133" spans="3:3">
      <c r="C5133">
        <v>117867</v>
      </c>
    </row>
    <row r="5134" spans="3:3">
      <c r="C5134">
        <v>117890</v>
      </c>
    </row>
    <row r="5135" spans="3:3">
      <c r="C5135">
        <v>117913</v>
      </c>
    </row>
    <row r="5136" spans="3:3">
      <c r="C5136">
        <v>117937</v>
      </c>
    </row>
    <row r="5137" spans="3:3">
      <c r="C5137">
        <v>117960</v>
      </c>
    </row>
    <row r="5138" spans="3:3">
      <c r="C5138">
        <v>117983</v>
      </c>
    </row>
    <row r="5139" spans="3:3">
      <c r="C5139">
        <v>118006</v>
      </c>
    </row>
    <row r="5140" spans="3:3">
      <c r="C5140">
        <v>118029</v>
      </c>
    </row>
    <row r="5141" spans="3:3">
      <c r="C5141">
        <v>118052</v>
      </c>
    </row>
    <row r="5142" spans="3:3">
      <c r="C5142">
        <v>118075</v>
      </c>
    </row>
    <row r="5143" spans="3:3">
      <c r="C5143">
        <v>118098</v>
      </c>
    </row>
    <row r="5144" spans="3:3">
      <c r="C5144">
        <v>118121</v>
      </c>
    </row>
    <row r="5145" spans="3:3">
      <c r="C5145">
        <v>118144</v>
      </c>
    </row>
    <row r="5146" spans="3:3">
      <c r="C5146">
        <v>118167</v>
      </c>
    </row>
    <row r="5147" spans="3:3">
      <c r="C5147">
        <v>118190</v>
      </c>
    </row>
    <row r="5148" spans="3:3">
      <c r="C5148">
        <v>118213</v>
      </c>
    </row>
    <row r="5149" spans="3:3">
      <c r="C5149">
        <v>118237</v>
      </c>
    </row>
    <row r="5150" spans="3:3">
      <c r="C5150">
        <v>118260</v>
      </c>
    </row>
    <row r="5151" spans="3:3">
      <c r="C5151">
        <v>118283</v>
      </c>
    </row>
    <row r="5152" spans="3:3">
      <c r="C5152">
        <v>118306</v>
      </c>
    </row>
    <row r="5153" spans="3:3">
      <c r="C5153">
        <v>118329</v>
      </c>
    </row>
    <row r="5154" spans="3:3">
      <c r="C5154">
        <v>118352</v>
      </c>
    </row>
    <row r="5155" spans="3:3">
      <c r="C5155">
        <v>118375</v>
      </c>
    </row>
    <row r="5156" spans="3:3">
      <c r="C5156">
        <v>118398</v>
      </c>
    </row>
    <row r="5157" spans="3:3">
      <c r="C5157">
        <v>118421</v>
      </c>
    </row>
    <row r="5158" spans="3:3">
      <c r="C5158">
        <v>118444</v>
      </c>
    </row>
    <row r="5159" spans="3:3">
      <c r="C5159">
        <v>118467</v>
      </c>
    </row>
    <row r="5160" spans="3:3">
      <c r="C5160">
        <v>118490</v>
      </c>
    </row>
    <row r="5161" spans="3:3">
      <c r="C5161">
        <v>118513</v>
      </c>
    </row>
    <row r="5162" spans="3:3">
      <c r="C5162">
        <v>118537</v>
      </c>
    </row>
    <row r="5163" spans="3:3">
      <c r="C5163">
        <v>118560</v>
      </c>
    </row>
    <row r="5164" spans="3:3">
      <c r="C5164">
        <v>118583</v>
      </c>
    </row>
    <row r="5165" spans="3:3">
      <c r="C5165">
        <v>118606</v>
      </c>
    </row>
    <row r="5166" spans="3:3">
      <c r="C5166">
        <v>118629</v>
      </c>
    </row>
    <row r="5167" spans="3:3">
      <c r="C5167">
        <v>118652</v>
      </c>
    </row>
    <row r="5168" spans="3:3">
      <c r="C5168">
        <v>118675</v>
      </c>
    </row>
    <row r="5169" spans="3:3">
      <c r="C5169">
        <v>118698</v>
      </c>
    </row>
    <row r="5170" spans="3:3">
      <c r="C5170">
        <v>118721</v>
      </c>
    </row>
    <row r="5171" spans="3:3">
      <c r="C5171">
        <v>118744</v>
      </c>
    </row>
    <row r="5172" spans="3:3">
      <c r="C5172">
        <v>118767</v>
      </c>
    </row>
    <row r="5173" spans="3:3">
      <c r="C5173">
        <v>118790</v>
      </c>
    </row>
    <row r="5174" spans="3:3">
      <c r="C5174">
        <v>118813</v>
      </c>
    </row>
    <row r="5175" spans="3:3">
      <c r="C5175">
        <v>118837</v>
      </c>
    </row>
    <row r="5176" spans="3:3">
      <c r="C5176">
        <v>118860</v>
      </c>
    </row>
    <row r="5177" spans="3:3">
      <c r="C5177">
        <v>118883</v>
      </c>
    </row>
    <row r="5178" spans="3:3">
      <c r="C5178">
        <v>118906</v>
      </c>
    </row>
    <row r="5179" spans="3:3">
      <c r="C5179">
        <v>118929</v>
      </c>
    </row>
    <row r="5180" spans="3:3">
      <c r="C5180">
        <v>118952</v>
      </c>
    </row>
    <row r="5181" spans="3:3">
      <c r="C5181">
        <v>118975</v>
      </c>
    </row>
    <row r="5182" spans="3:3">
      <c r="C5182">
        <v>118998</v>
      </c>
    </row>
    <row r="5183" spans="3:3">
      <c r="C5183">
        <v>119021</v>
      </c>
    </row>
    <row r="5184" spans="3:3">
      <c r="C5184">
        <v>119044</v>
      </c>
    </row>
    <row r="5185" spans="3:3">
      <c r="C5185">
        <v>119067</v>
      </c>
    </row>
    <row r="5186" spans="3:3">
      <c r="C5186">
        <v>119090</v>
      </c>
    </row>
    <row r="5187" spans="3:3">
      <c r="C5187">
        <v>119113</v>
      </c>
    </row>
    <row r="5188" spans="3:3">
      <c r="C5188">
        <v>119137</v>
      </c>
    </row>
    <row r="5189" spans="3:3">
      <c r="C5189">
        <v>119160</v>
      </c>
    </row>
    <row r="5190" spans="3:3">
      <c r="C5190">
        <v>119183</v>
      </c>
    </row>
    <row r="5191" spans="3:3">
      <c r="C5191">
        <v>119206</v>
      </c>
    </row>
    <row r="5192" spans="3:3">
      <c r="C5192">
        <v>119229</v>
      </c>
    </row>
    <row r="5193" spans="3:3">
      <c r="C5193">
        <v>119252</v>
      </c>
    </row>
    <row r="5194" spans="3:3">
      <c r="C5194">
        <v>119275</v>
      </c>
    </row>
    <row r="5195" spans="3:3">
      <c r="C5195">
        <v>119298</v>
      </c>
    </row>
    <row r="5196" spans="3:3">
      <c r="C5196">
        <v>119321</v>
      </c>
    </row>
    <row r="5197" spans="3:3">
      <c r="C5197">
        <v>119344</v>
      </c>
    </row>
    <row r="5198" spans="3:3">
      <c r="C5198">
        <v>119367</v>
      </c>
    </row>
    <row r="5199" spans="3:3">
      <c r="C5199">
        <v>119390</v>
      </c>
    </row>
    <row r="5200" spans="3:3">
      <c r="C5200">
        <v>119413</v>
      </c>
    </row>
    <row r="5201" spans="3:3">
      <c r="C5201">
        <v>119437</v>
      </c>
    </row>
    <row r="5202" spans="3:3">
      <c r="C5202">
        <v>119460</v>
      </c>
    </row>
    <row r="5203" spans="3:3">
      <c r="C5203">
        <v>119483</v>
      </c>
    </row>
    <row r="5204" spans="3:3">
      <c r="C5204">
        <v>119506</v>
      </c>
    </row>
    <row r="5205" spans="3:3">
      <c r="C5205">
        <v>119529</v>
      </c>
    </row>
    <row r="5206" spans="3:3">
      <c r="C5206">
        <v>119552</v>
      </c>
    </row>
    <row r="5207" spans="3:3">
      <c r="C5207">
        <v>119575</v>
      </c>
    </row>
    <row r="5208" spans="3:3">
      <c r="C5208">
        <v>119598</v>
      </c>
    </row>
    <row r="5209" spans="3:3">
      <c r="C5209">
        <v>119621</v>
      </c>
    </row>
    <row r="5210" spans="3:3">
      <c r="C5210">
        <v>119644</v>
      </c>
    </row>
    <row r="5211" spans="3:3">
      <c r="C5211">
        <v>119667</v>
      </c>
    </row>
    <row r="5212" spans="3:3">
      <c r="C5212">
        <v>119690</v>
      </c>
    </row>
    <row r="5213" spans="3:3">
      <c r="C5213">
        <v>119713</v>
      </c>
    </row>
    <row r="5214" spans="3:3">
      <c r="C5214">
        <v>119737</v>
      </c>
    </row>
    <row r="5215" spans="3:3">
      <c r="C5215">
        <v>119760</v>
      </c>
    </row>
    <row r="5216" spans="3:3">
      <c r="C5216">
        <v>119783</v>
      </c>
    </row>
    <row r="5217" spans="3:3">
      <c r="C5217">
        <v>119806</v>
      </c>
    </row>
    <row r="5218" spans="3:3">
      <c r="C5218">
        <v>119829</v>
      </c>
    </row>
    <row r="5219" spans="3:3">
      <c r="C5219">
        <v>119852</v>
      </c>
    </row>
    <row r="5220" spans="3:3">
      <c r="C5220">
        <v>119875</v>
      </c>
    </row>
    <row r="5221" spans="3:3">
      <c r="C5221">
        <v>119898</v>
      </c>
    </row>
    <row r="5222" spans="3:3">
      <c r="C5222">
        <v>119921</v>
      </c>
    </row>
    <row r="5223" spans="3:3">
      <c r="C5223">
        <v>119944</v>
      </c>
    </row>
    <row r="5224" spans="3:3">
      <c r="C5224">
        <v>119967</v>
      </c>
    </row>
    <row r="5225" spans="3:3">
      <c r="C5225">
        <v>119990</v>
      </c>
    </row>
    <row r="5226" spans="3:3">
      <c r="C5226">
        <v>120013</v>
      </c>
    </row>
    <row r="5227" spans="3:3">
      <c r="C5227">
        <v>120037</v>
      </c>
    </row>
    <row r="5228" spans="3:3">
      <c r="C5228">
        <v>120060</v>
      </c>
    </row>
    <row r="5229" spans="3:3">
      <c r="C5229">
        <v>120083</v>
      </c>
    </row>
    <row r="5230" spans="3:3">
      <c r="C5230">
        <v>120106</v>
      </c>
    </row>
    <row r="5231" spans="3:3">
      <c r="C5231">
        <v>120129</v>
      </c>
    </row>
    <row r="5232" spans="3:3">
      <c r="C5232">
        <v>120152</v>
      </c>
    </row>
    <row r="5233" spans="3:3">
      <c r="C5233">
        <v>120175</v>
      </c>
    </row>
    <row r="5234" spans="3:3">
      <c r="C5234">
        <v>120198</v>
      </c>
    </row>
    <row r="5235" spans="3:3">
      <c r="C5235">
        <v>120221</v>
      </c>
    </row>
    <row r="5236" spans="3:3">
      <c r="C5236">
        <v>120244</v>
      </c>
    </row>
    <row r="5237" spans="3:3">
      <c r="C5237">
        <v>120267</v>
      </c>
    </row>
    <row r="5238" spans="3:3">
      <c r="C5238">
        <v>120290</v>
      </c>
    </row>
    <row r="5239" spans="3:3">
      <c r="C5239">
        <v>120313</v>
      </c>
    </row>
    <row r="5240" spans="3:3">
      <c r="C5240">
        <v>120337</v>
      </c>
    </row>
    <row r="5241" spans="3:3">
      <c r="C5241">
        <v>120360</v>
      </c>
    </row>
    <row r="5242" spans="3:3">
      <c r="C5242">
        <v>120383</v>
      </c>
    </row>
    <row r="5243" spans="3:3">
      <c r="C5243">
        <v>120406</v>
      </c>
    </row>
    <row r="5244" spans="3:3">
      <c r="C5244">
        <v>120429</v>
      </c>
    </row>
    <row r="5245" spans="3:3">
      <c r="C5245">
        <v>120452</v>
      </c>
    </row>
    <row r="5246" spans="3:3">
      <c r="C5246">
        <v>120475</v>
      </c>
    </row>
    <row r="5247" spans="3:3">
      <c r="C5247">
        <v>120498</v>
      </c>
    </row>
    <row r="5248" spans="3:3">
      <c r="C5248">
        <v>120521</v>
      </c>
    </row>
    <row r="5249" spans="3:3">
      <c r="C5249">
        <v>120544</v>
      </c>
    </row>
    <row r="5250" spans="3:3">
      <c r="C5250">
        <v>120567</v>
      </c>
    </row>
    <row r="5251" spans="3:3">
      <c r="C5251">
        <v>120590</v>
      </c>
    </row>
    <row r="5252" spans="3:3">
      <c r="C5252">
        <v>120613</v>
      </c>
    </row>
    <row r="5253" spans="3:3">
      <c r="C5253">
        <v>120637</v>
      </c>
    </row>
    <row r="5254" spans="3:3">
      <c r="C5254">
        <v>120660</v>
      </c>
    </row>
    <row r="5255" spans="3:3">
      <c r="C5255">
        <v>120683</v>
      </c>
    </row>
    <row r="5256" spans="3:3">
      <c r="C5256">
        <v>120706</v>
      </c>
    </row>
    <row r="5257" spans="3:3">
      <c r="C5257">
        <v>120729</v>
      </c>
    </row>
    <row r="5258" spans="3:3">
      <c r="C5258">
        <v>120752</v>
      </c>
    </row>
    <row r="5259" spans="3:3">
      <c r="C5259">
        <v>120775</v>
      </c>
    </row>
    <row r="5260" spans="3:3">
      <c r="C5260">
        <v>120798</v>
      </c>
    </row>
    <row r="5261" spans="3:3">
      <c r="C5261">
        <v>120821</v>
      </c>
    </row>
    <row r="5262" spans="3:3">
      <c r="C5262">
        <v>120844</v>
      </c>
    </row>
    <row r="5263" spans="3:3">
      <c r="C5263">
        <v>120867</v>
      </c>
    </row>
    <row r="5264" spans="3:3">
      <c r="C5264">
        <v>120890</v>
      </c>
    </row>
    <row r="5265" spans="3:3">
      <c r="C5265">
        <v>120913</v>
      </c>
    </row>
    <row r="5266" spans="3:3">
      <c r="C5266">
        <v>120937</v>
      </c>
    </row>
    <row r="5267" spans="3:3">
      <c r="C5267">
        <v>120960</v>
      </c>
    </row>
    <row r="5268" spans="3:3">
      <c r="C5268">
        <v>120983</v>
      </c>
    </row>
    <row r="5269" spans="3:3">
      <c r="C5269">
        <v>121006</v>
      </c>
    </row>
    <row r="5270" spans="3:3">
      <c r="C5270">
        <v>121029</v>
      </c>
    </row>
    <row r="5271" spans="3:3">
      <c r="C5271">
        <v>121052</v>
      </c>
    </row>
    <row r="5272" spans="3:3">
      <c r="C5272">
        <v>121075</v>
      </c>
    </row>
    <row r="5273" spans="3:3">
      <c r="C5273">
        <v>121098</v>
      </c>
    </row>
    <row r="5274" spans="3:3">
      <c r="C5274">
        <v>121121</v>
      </c>
    </row>
    <row r="5275" spans="3:3">
      <c r="C5275">
        <v>121144</v>
      </c>
    </row>
    <row r="5276" spans="3:3">
      <c r="C5276">
        <v>121167</v>
      </c>
    </row>
    <row r="5277" spans="3:3">
      <c r="C5277">
        <v>121190</v>
      </c>
    </row>
    <row r="5278" spans="3:3">
      <c r="C5278">
        <v>121213</v>
      </c>
    </row>
    <row r="5279" spans="3:3">
      <c r="C5279">
        <v>121237</v>
      </c>
    </row>
    <row r="5280" spans="3:3">
      <c r="C5280">
        <v>121260</v>
      </c>
    </row>
    <row r="5281" spans="3:3">
      <c r="C5281">
        <v>121283</v>
      </c>
    </row>
    <row r="5282" spans="3:3">
      <c r="C5282">
        <v>121306</v>
      </c>
    </row>
    <row r="5283" spans="3:3">
      <c r="C5283">
        <v>121329</v>
      </c>
    </row>
    <row r="5284" spans="3:3">
      <c r="C5284">
        <v>121352</v>
      </c>
    </row>
    <row r="5285" spans="3:3">
      <c r="C5285">
        <v>121375</v>
      </c>
    </row>
    <row r="5286" spans="3:3">
      <c r="C5286">
        <v>121398</v>
      </c>
    </row>
    <row r="5287" spans="3:3">
      <c r="C5287">
        <v>121421</v>
      </c>
    </row>
    <row r="5288" spans="3:3">
      <c r="C5288">
        <v>121444</v>
      </c>
    </row>
    <row r="5289" spans="3:3">
      <c r="C5289">
        <v>121467</v>
      </c>
    </row>
    <row r="5290" spans="3:3">
      <c r="C5290">
        <v>121490</v>
      </c>
    </row>
    <row r="5291" spans="3:3">
      <c r="C5291">
        <v>121513</v>
      </c>
    </row>
    <row r="5292" spans="3:3">
      <c r="C5292">
        <v>121537</v>
      </c>
    </row>
    <row r="5293" spans="3:3">
      <c r="C5293">
        <v>121560</v>
      </c>
    </row>
    <row r="5294" spans="3:3">
      <c r="C5294">
        <v>121583</v>
      </c>
    </row>
    <row r="5295" spans="3:3">
      <c r="C5295">
        <v>121606</v>
      </c>
    </row>
    <row r="5296" spans="3:3">
      <c r="C5296">
        <v>121629</v>
      </c>
    </row>
    <row r="5297" spans="3:3">
      <c r="C5297">
        <v>121652</v>
      </c>
    </row>
    <row r="5298" spans="3:3">
      <c r="C5298">
        <v>121675</v>
      </c>
    </row>
    <row r="5299" spans="3:3">
      <c r="C5299">
        <v>121698</v>
      </c>
    </row>
    <row r="5300" spans="3:3">
      <c r="C5300">
        <v>121721</v>
      </c>
    </row>
    <row r="5301" spans="3:3">
      <c r="C5301">
        <v>121744</v>
      </c>
    </row>
    <row r="5302" spans="3:3">
      <c r="C5302">
        <v>121767</v>
      </c>
    </row>
    <row r="5303" spans="3:3">
      <c r="C5303">
        <v>121790</v>
      </c>
    </row>
    <row r="5304" spans="3:3">
      <c r="C5304">
        <v>121813</v>
      </c>
    </row>
    <row r="5305" spans="3:3">
      <c r="C5305">
        <v>121837</v>
      </c>
    </row>
    <row r="5306" spans="3:3">
      <c r="C5306">
        <v>121860</v>
      </c>
    </row>
    <row r="5307" spans="3:3">
      <c r="C5307">
        <v>121883</v>
      </c>
    </row>
    <row r="5308" spans="3:3">
      <c r="C5308">
        <v>121906</v>
      </c>
    </row>
    <row r="5309" spans="3:3">
      <c r="C5309">
        <v>121929</v>
      </c>
    </row>
    <row r="5310" spans="3:3">
      <c r="C5310">
        <v>121952</v>
      </c>
    </row>
    <row r="5311" spans="3:3">
      <c r="C5311">
        <v>121975</v>
      </c>
    </row>
    <row r="5312" spans="3:3">
      <c r="C5312">
        <v>121998</v>
      </c>
    </row>
    <row r="5313" spans="3:3">
      <c r="C5313">
        <v>122021</v>
      </c>
    </row>
    <row r="5314" spans="3:3">
      <c r="C5314">
        <v>122044</v>
      </c>
    </row>
    <row r="5315" spans="3:3">
      <c r="C5315">
        <v>122067</v>
      </c>
    </row>
    <row r="5316" spans="3:3">
      <c r="C5316">
        <v>122090</v>
      </c>
    </row>
    <row r="5317" spans="3:3">
      <c r="C5317">
        <v>122113</v>
      </c>
    </row>
    <row r="5318" spans="3:3">
      <c r="C5318">
        <v>122137</v>
      </c>
    </row>
    <row r="5319" spans="3:3">
      <c r="C5319">
        <v>122160</v>
      </c>
    </row>
    <row r="5320" spans="3:3">
      <c r="C5320">
        <v>122183</v>
      </c>
    </row>
    <row r="5321" spans="3:3">
      <c r="C5321">
        <v>122206</v>
      </c>
    </row>
    <row r="5322" spans="3:3">
      <c r="C5322">
        <v>122229</v>
      </c>
    </row>
    <row r="5323" spans="3:3">
      <c r="C5323">
        <v>122252</v>
      </c>
    </row>
    <row r="5324" spans="3:3">
      <c r="C5324">
        <v>122275</v>
      </c>
    </row>
    <row r="5325" spans="3:3">
      <c r="C5325">
        <v>122298</v>
      </c>
    </row>
    <row r="5326" spans="3:3">
      <c r="C5326">
        <v>122321</v>
      </c>
    </row>
    <row r="5327" spans="3:3">
      <c r="C5327">
        <v>122344</v>
      </c>
    </row>
    <row r="5328" spans="3:3">
      <c r="C5328">
        <v>122367</v>
      </c>
    </row>
    <row r="5329" spans="3:3">
      <c r="C5329">
        <v>122390</v>
      </c>
    </row>
    <row r="5330" spans="3:3">
      <c r="C5330">
        <v>122413</v>
      </c>
    </row>
    <row r="5331" spans="3:3">
      <c r="C5331">
        <v>122437</v>
      </c>
    </row>
    <row r="5332" spans="3:3">
      <c r="C5332">
        <v>122460</v>
      </c>
    </row>
    <row r="5333" spans="3:3">
      <c r="C5333">
        <v>122483</v>
      </c>
    </row>
    <row r="5334" spans="3:3">
      <c r="C5334">
        <v>122506</v>
      </c>
    </row>
    <row r="5335" spans="3:3">
      <c r="C5335">
        <v>122529</v>
      </c>
    </row>
    <row r="5336" spans="3:3">
      <c r="C5336">
        <v>122552</v>
      </c>
    </row>
    <row r="5337" spans="3:3">
      <c r="C5337">
        <v>122575</v>
      </c>
    </row>
    <row r="5338" spans="3:3">
      <c r="C5338">
        <v>122598</v>
      </c>
    </row>
    <row r="5339" spans="3:3">
      <c r="C5339">
        <v>122621</v>
      </c>
    </row>
    <row r="5340" spans="3:3">
      <c r="C5340">
        <v>122644</v>
      </c>
    </row>
    <row r="5341" spans="3:3">
      <c r="C5341">
        <v>122667</v>
      </c>
    </row>
    <row r="5342" spans="3:3">
      <c r="C5342">
        <v>122690</v>
      </c>
    </row>
    <row r="5343" spans="3:3">
      <c r="C5343">
        <v>122713</v>
      </c>
    </row>
    <row r="5344" spans="3:3">
      <c r="C5344">
        <v>122737</v>
      </c>
    </row>
    <row r="5345" spans="3:3">
      <c r="C5345">
        <v>122760</v>
      </c>
    </row>
    <row r="5346" spans="3:3">
      <c r="C5346">
        <v>122783</v>
      </c>
    </row>
    <row r="5347" spans="3:3">
      <c r="C5347">
        <v>122806</v>
      </c>
    </row>
    <row r="5348" spans="3:3">
      <c r="C5348">
        <v>122829</v>
      </c>
    </row>
    <row r="5349" spans="3:3">
      <c r="C5349">
        <v>122852</v>
      </c>
    </row>
    <row r="5350" spans="3:3">
      <c r="C5350">
        <v>122875</v>
      </c>
    </row>
    <row r="5351" spans="3:3">
      <c r="C5351">
        <v>122898</v>
      </c>
    </row>
    <row r="5352" spans="3:3">
      <c r="C5352">
        <v>122921</v>
      </c>
    </row>
    <row r="5353" spans="3:3">
      <c r="C5353">
        <v>122944</v>
      </c>
    </row>
    <row r="5354" spans="3:3">
      <c r="C5354">
        <v>122967</v>
      </c>
    </row>
    <row r="5355" spans="3:3">
      <c r="C5355">
        <v>122990</v>
      </c>
    </row>
    <row r="5356" spans="3:3">
      <c r="C5356">
        <v>123013</v>
      </c>
    </row>
    <row r="5357" spans="3:3">
      <c r="C5357">
        <v>123037</v>
      </c>
    </row>
    <row r="5358" spans="3:3">
      <c r="C5358">
        <v>123060</v>
      </c>
    </row>
    <row r="5359" spans="3:3">
      <c r="C5359">
        <v>123083</v>
      </c>
    </row>
    <row r="5360" spans="3:3">
      <c r="C5360">
        <v>123106</v>
      </c>
    </row>
    <row r="5361" spans="3:3">
      <c r="C5361">
        <v>123129</v>
      </c>
    </row>
    <row r="5362" spans="3:3">
      <c r="C5362">
        <v>123152</v>
      </c>
    </row>
    <row r="5363" spans="3:3">
      <c r="C5363">
        <v>123175</v>
      </c>
    </row>
    <row r="5364" spans="3:3">
      <c r="C5364">
        <v>123198</v>
      </c>
    </row>
    <row r="5365" spans="3:3">
      <c r="C5365">
        <v>123221</v>
      </c>
    </row>
    <row r="5366" spans="3:3">
      <c r="C5366">
        <v>123244</v>
      </c>
    </row>
    <row r="5367" spans="3:3">
      <c r="C5367">
        <v>123267</v>
      </c>
    </row>
    <row r="5368" spans="3:3">
      <c r="C5368">
        <v>123290</v>
      </c>
    </row>
    <row r="5369" spans="3:3">
      <c r="C5369">
        <v>123313</v>
      </c>
    </row>
    <row r="5370" spans="3:3">
      <c r="C5370">
        <v>123337</v>
      </c>
    </row>
    <row r="5371" spans="3:3">
      <c r="C5371">
        <v>123360</v>
      </c>
    </row>
    <row r="5372" spans="3:3">
      <c r="C5372">
        <v>123383</v>
      </c>
    </row>
    <row r="5373" spans="3:3">
      <c r="C5373">
        <v>123406</v>
      </c>
    </row>
    <row r="5374" spans="3:3">
      <c r="C5374">
        <v>123429</v>
      </c>
    </row>
    <row r="5375" spans="3:3">
      <c r="C5375">
        <v>123452</v>
      </c>
    </row>
    <row r="5376" spans="3:3">
      <c r="C5376">
        <v>123475</v>
      </c>
    </row>
    <row r="5377" spans="3:3">
      <c r="C5377">
        <v>123498</v>
      </c>
    </row>
    <row r="5378" spans="3:3">
      <c r="C5378">
        <v>123521</v>
      </c>
    </row>
    <row r="5379" spans="3:3">
      <c r="C5379">
        <v>123544</v>
      </c>
    </row>
    <row r="5380" spans="3:3">
      <c r="C5380">
        <v>123567</v>
      </c>
    </row>
    <row r="5381" spans="3:3">
      <c r="C5381">
        <v>123590</v>
      </c>
    </row>
    <row r="5382" spans="3:3">
      <c r="C5382">
        <v>123613</v>
      </c>
    </row>
    <row r="5383" spans="3:3">
      <c r="C5383">
        <v>123637</v>
      </c>
    </row>
    <row r="5384" spans="3:3">
      <c r="C5384">
        <v>123660</v>
      </c>
    </row>
    <row r="5385" spans="3:3">
      <c r="C5385">
        <v>123683</v>
      </c>
    </row>
    <row r="5386" spans="3:3">
      <c r="C5386">
        <v>123706</v>
      </c>
    </row>
    <row r="5387" spans="3:3">
      <c r="C5387">
        <v>123729</v>
      </c>
    </row>
    <row r="5388" spans="3:3">
      <c r="C5388">
        <v>123752</v>
      </c>
    </row>
    <row r="5389" spans="3:3">
      <c r="C5389">
        <v>123775</v>
      </c>
    </row>
    <row r="5390" spans="3:3">
      <c r="C5390">
        <v>123798</v>
      </c>
    </row>
    <row r="5391" spans="3:3">
      <c r="C5391">
        <v>123821</v>
      </c>
    </row>
    <row r="5392" spans="3:3">
      <c r="C5392">
        <v>123844</v>
      </c>
    </row>
    <row r="5393" spans="3:3">
      <c r="C5393">
        <v>123867</v>
      </c>
    </row>
    <row r="5394" spans="3:3">
      <c r="C5394">
        <v>123890</v>
      </c>
    </row>
    <row r="5395" spans="3:3">
      <c r="C5395">
        <v>123913</v>
      </c>
    </row>
    <row r="5396" spans="3:3">
      <c r="C5396">
        <v>123937</v>
      </c>
    </row>
    <row r="5397" spans="3:3">
      <c r="C5397">
        <v>123960</v>
      </c>
    </row>
    <row r="5398" spans="3:3">
      <c r="C5398">
        <v>123983</v>
      </c>
    </row>
    <row r="5399" spans="3:3">
      <c r="C5399">
        <v>124006</v>
      </c>
    </row>
    <row r="5400" spans="3:3">
      <c r="C5400">
        <v>124029</v>
      </c>
    </row>
    <row r="5401" spans="3:3">
      <c r="C5401">
        <v>124052</v>
      </c>
    </row>
    <row r="5402" spans="3:3">
      <c r="C5402">
        <v>124075</v>
      </c>
    </row>
    <row r="5403" spans="3:3">
      <c r="C5403">
        <v>124098</v>
      </c>
    </row>
    <row r="5404" spans="3:3">
      <c r="C5404">
        <v>124121</v>
      </c>
    </row>
    <row r="5405" spans="3:3">
      <c r="C5405">
        <v>124144</v>
      </c>
    </row>
    <row r="5406" spans="3:3">
      <c r="C5406">
        <v>124167</v>
      </c>
    </row>
    <row r="5407" spans="3:3">
      <c r="C5407">
        <v>124190</v>
      </c>
    </row>
    <row r="5408" spans="3:3">
      <c r="C5408">
        <v>124213</v>
      </c>
    </row>
    <row r="5409" spans="3:3">
      <c r="C5409">
        <v>124237</v>
      </c>
    </row>
    <row r="5410" spans="3:3">
      <c r="C5410">
        <v>124260</v>
      </c>
    </row>
    <row r="5411" spans="3:3">
      <c r="C5411">
        <v>124283</v>
      </c>
    </row>
    <row r="5412" spans="3:3">
      <c r="C5412">
        <v>124306</v>
      </c>
    </row>
    <row r="5413" spans="3:3">
      <c r="C5413">
        <v>124329</v>
      </c>
    </row>
    <row r="5414" spans="3:3">
      <c r="C5414">
        <v>124352</v>
      </c>
    </row>
    <row r="5415" spans="3:3">
      <c r="C5415">
        <v>124375</v>
      </c>
    </row>
    <row r="5416" spans="3:3">
      <c r="C5416">
        <v>124398</v>
      </c>
    </row>
    <row r="5417" spans="3:3">
      <c r="C5417">
        <v>124421</v>
      </c>
    </row>
    <row r="5418" spans="3:3">
      <c r="C5418">
        <v>124444</v>
      </c>
    </row>
    <row r="5419" spans="3:3">
      <c r="C5419">
        <v>124467</v>
      </c>
    </row>
    <row r="5420" spans="3:3">
      <c r="C5420">
        <v>124490</v>
      </c>
    </row>
    <row r="5421" spans="3:3">
      <c r="C5421">
        <v>124513</v>
      </c>
    </row>
    <row r="5422" spans="3:3">
      <c r="C5422">
        <v>124537</v>
      </c>
    </row>
    <row r="5423" spans="3:3">
      <c r="C5423">
        <v>124560</v>
      </c>
    </row>
    <row r="5424" spans="3:3">
      <c r="C5424">
        <v>124583</v>
      </c>
    </row>
    <row r="5425" spans="3:3">
      <c r="C5425">
        <v>124606</v>
      </c>
    </row>
    <row r="5426" spans="3:3">
      <c r="C5426">
        <v>124629</v>
      </c>
    </row>
    <row r="5427" spans="3:3">
      <c r="C5427">
        <v>124652</v>
      </c>
    </row>
    <row r="5428" spans="3:3">
      <c r="C5428">
        <v>124675</v>
      </c>
    </row>
    <row r="5429" spans="3:3">
      <c r="C5429">
        <v>124698</v>
      </c>
    </row>
    <row r="5430" spans="3:3">
      <c r="C5430">
        <v>124721</v>
      </c>
    </row>
    <row r="5431" spans="3:3">
      <c r="C5431">
        <v>124744</v>
      </c>
    </row>
    <row r="5432" spans="3:3">
      <c r="C5432">
        <v>124767</v>
      </c>
    </row>
    <row r="5433" spans="3:3">
      <c r="C5433">
        <v>124790</v>
      </c>
    </row>
    <row r="5434" spans="3:3">
      <c r="C5434">
        <v>124813</v>
      </c>
    </row>
    <row r="5435" spans="3:3">
      <c r="C5435">
        <v>124837</v>
      </c>
    </row>
    <row r="5436" spans="3:3">
      <c r="C5436">
        <v>124860</v>
      </c>
    </row>
    <row r="5437" spans="3:3">
      <c r="C5437">
        <v>124883</v>
      </c>
    </row>
    <row r="5438" spans="3:3">
      <c r="C5438">
        <v>124906</v>
      </c>
    </row>
    <row r="5439" spans="3:3">
      <c r="C5439">
        <v>124929</v>
      </c>
    </row>
    <row r="5440" spans="3:3">
      <c r="C5440">
        <v>124952</v>
      </c>
    </row>
    <row r="5441" spans="3:3">
      <c r="C5441">
        <v>124975</v>
      </c>
    </row>
    <row r="5442" spans="3:3">
      <c r="C5442">
        <v>124998</v>
      </c>
    </row>
    <row r="5443" spans="3:3">
      <c r="C5443">
        <v>125021</v>
      </c>
    </row>
    <row r="5444" spans="3:3">
      <c r="C5444">
        <v>125044</v>
      </c>
    </row>
    <row r="5445" spans="3:3">
      <c r="C5445">
        <v>125067</v>
      </c>
    </row>
    <row r="5446" spans="3:3">
      <c r="C5446">
        <v>125090</v>
      </c>
    </row>
    <row r="5447" spans="3:3">
      <c r="C5447">
        <v>125113</v>
      </c>
    </row>
    <row r="5448" spans="3:3">
      <c r="C5448">
        <v>125137</v>
      </c>
    </row>
    <row r="5449" spans="3:3">
      <c r="C5449">
        <v>125160</v>
      </c>
    </row>
    <row r="5450" spans="3:3">
      <c r="C5450">
        <v>125183</v>
      </c>
    </row>
    <row r="5451" spans="3:3">
      <c r="C5451">
        <v>125206</v>
      </c>
    </row>
    <row r="5452" spans="3:3">
      <c r="C5452">
        <v>125229</v>
      </c>
    </row>
    <row r="5453" spans="3:3">
      <c r="C5453">
        <v>125252</v>
      </c>
    </row>
    <row r="5454" spans="3:3">
      <c r="C5454">
        <v>125275</v>
      </c>
    </row>
    <row r="5455" spans="3:3">
      <c r="C5455">
        <v>125298</v>
      </c>
    </row>
    <row r="5456" spans="3:3">
      <c r="C5456">
        <v>125321</v>
      </c>
    </row>
    <row r="5457" spans="3:3">
      <c r="C5457">
        <v>125344</v>
      </c>
    </row>
    <row r="5458" spans="3:3">
      <c r="C5458">
        <v>125367</v>
      </c>
    </row>
    <row r="5459" spans="3:3">
      <c r="C5459">
        <v>125390</v>
      </c>
    </row>
    <row r="5460" spans="3:3">
      <c r="C5460">
        <v>125413</v>
      </c>
    </row>
    <row r="5461" spans="3:3">
      <c r="C5461">
        <v>125437</v>
      </c>
    </row>
    <row r="5462" spans="3:3">
      <c r="C5462">
        <v>125460</v>
      </c>
    </row>
    <row r="5463" spans="3:3">
      <c r="C5463">
        <v>125483</v>
      </c>
    </row>
    <row r="5464" spans="3:3">
      <c r="C5464">
        <v>125506</v>
      </c>
    </row>
    <row r="5465" spans="3:3">
      <c r="C5465">
        <v>125529</v>
      </c>
    </row>
    <row r="5466" spans="3:3">
      <c r="C5466">
        <v>125552</v>
      </c>
    </row>
    <row r="5467" spans="3:3">
      <c r="C5467">
        <v>125575</v>
      </c>
    </row>
    <row r="5468" spans="3:3">
      <c r="C5468">
        <v>125598</v>
      </c>
    </row>
    <row r="5469" spans="3:3">
      <c r="C5469">
        <v>125621</v>
      </c>
    </row>
    <row r="5470" spans="3:3">
      <c r="C5470">
        <v>125644</v>
      </c>
    </row>
    <row r="5471" spans="3:3">
      <c r="C5471">
        <v>125667</v>
      </c>
    </row>
    <row r="5472" spans="3:3">
      <c r="C5472">
        <v>125690</v>
      </c>
    </row>
    <row r="5473" spans="3:3">
      <c r="C5473">
        <v>125713</v>
      </c>
    </row>
    <row r="5474" spans="3:3">
      <c r="C5474">
        <v>125737</v>
      </c>
    </row>
    <row r="5475" spans="3:3">
      <c r="C5475">
        <v>125760</v>
      </c>
    </row>
    <row r="5476" spans="3:3">
      <c r="C5476">
        <v>125783</v>
      </c>
    </row>
    <row r="5477" spans="3:3">
      <c r="C5477">
        <v>125806</v>
      </c>
    </row>
    <row r="5478" spans="3:3">
      <c r="C5478">
        <v>125829</v>
      </c>
    </row>
    <row r="5479" spans="3:3">
      <c r="C5479">
        <v>125852</v>
      </c>
    </row>
    <row r="5480" spans="3:3">
      <c r="C5480">
        <v>125875</v>
      </c>
    </row>
    <row r="5481" spans="3:3">
      <c r="C5481">
        <v>125898</v>
      </c>
    </row>
    <row r="5482" spans="3:3">
      <c r="C5482">
        <v>125921</v>
      </c>
    </row>
    <row r="5483" spans="3:3">
      <c r="C5483">
        <v>125944</v>
      </c>
    </row>
    <row r="5484" spans="3:3">
      <c r="C5484">
        <v>125967</v>
      </c>
    </row>
    <row r="5485" spans="3:3">
      <c r="C5485">
        <v>125990</v>
      </c>
    </row>
    <row r="5486" spans="3:3">
      <c r="C5486">
        <v>126013</v>
      </c>
    </row>
    <row r="5487" spans="3:3">
      <c r="C5487">
        <v>126037</v>
      </c>
    </row>
    <row r="5488" spans="3:3">
      <c r="C5488">
        <v>126060</v>
      </c>
    </row>
    <row r="5489" spans="3:3">
      <c r="C5489">
        <v>126083</v>
      </c>
    </row>
    <row r="5490" spans="3:3">
      <c r="C5490">
        <v>126106</v>
      </c>
    </row>
    <row r="5491" spans="3:3">
      <c r="C5491">
        <v>126129</v>
      </c>
    </row>
    <row r="5492" spans="3:3">
      <c r="C5492">
        <v>126152</v>
      </c>
    </row>
    <row r="5493" spans="3:3">
      <c r="C5493">
        <v>126175</v>
      </c>
    </row>
    <row r="5494" spans="3:3">
      <c r="C5494">
        <v>126198</v>
      </c>
    </row>
    <row r="5495" spans="3:3">
      <c r="C5495">
        <v>126221</v>
      </c>
    </row>
    <row r="5496" spans="3:3">
      <c r="C5496">
        <v>126244</v>
      </c>
    </row>
    <row r="5497" spans="3:3">
      <c r="C5497">
        <v>126267</v>
      </c>
    </row>
    <row r="5498" spans="3:3">
      <c r="C5498">
        <v>126290</v>
      </c>
    </row>
    <row r="5499" spans="3:3">
      <c r="C5499">
        <v>126313</v>
      </c>
    </row>
    <row r="5500" spans="3:3">
      <c r="C5500">
        <v>126337</v>
      </c>
    </row>
    <row r="5501" spans="3:3">
      <c r="C5501">
        <v>126360</v>
      </c>
    </row>
    <row r="5502" spans="3:3">
      <c r="C5502">
        <v>126383</v>
      </c>
    </row>
    <row r="5503" spans="3:3">
      <c r="C5503">
        <v>126406</v>
      </c>
    </row>
    <row r="5504" spans="3:3">
      <c r="C5504">
        <v>126429</v>
      </c>
    </row>
    <row r="5505" spans="3:3">
      <c r="C5505">
        <v>126452</v>
      </c>
    </row>
    <row r="5506" spans="3:3">
      <c r="C5506">
        <v>126475</v>
      </c>
    </row>
    <row r="5507" spans="3:3">
      <c r="C5507">
        <v>126498</v>
      </c>
    </row>
    <row r="5508" spans="3:3">
      <c r="C5508">
        <v>126521</v>
      </c>
    </row>
    <row r="5509" spans="3:3">
      <c r="C5509">
        <v>126544</v>
      </c>
    </row>
    <row r="5510" spans="3:3">
      <c r="C5510">
        <v>126567</v>
      </c>
    </row>
    <row r="5511" spans="3:3">
      <c r="C5511">
        <v>126590</v>
      </c>
    </row>
    <row r="5512" spans="3:3">
      <c r="C5512">
        <v>126613</v>
      </c>
    </row>
    <row r="5513" spans="3:3">
      <c r="C5513">
        <v>126637</v>
      </c>
    </row>
    <row r="5514" spans="3:3">
      <c r="C5514">
        <v>126660</v>
      </c>
    </row>
    <row r="5515" spans="3:3">
      <c r="C5515">
        <v>126683</v>
      </c>
    </row>
    <row r="5516" spans="3:3">
      <c r="C5516">
        <v>126706</v>
      </c>
    </row>
    <row r="5517" spans="3:3">
      <c r="C5517">
        <v>126729</v>
      </c>
    </row>
    <row r="5518" spans="3:3">
      <c r="C5518">
        <v>126752</v>
      </c>
    </row>
    <row r="5519" spans="3:3">
      <c r="C5519">
        <v>126775</v>
      </c>
    </row>
    <row r="5520" spans="3:3">
      <c r="C5520">
        <v>126798</v>
      </c>
    </row>
    <row r="5521" spans="3:3">
      <c r="C5521">
        <v>126821</v>
      </c>
    </row>
    <row r="5522" spans="3:3">
      <c r="C5522">
        <v>126844</v>
      </c>
    </row>
    <row r="5523" spans="3:3">
      <c r="C5523">
        <v>126867</v>
      </c>
    </row>
    <row r="5524" spans="3:3">
      <c r="C5524">
        <v>126890</v>
      </c>
    </row>
    <row r="5525" spans="3:3">
      <c r="C5525">
        <v>126913</v>
      </c>
    </row>
    <row r="5526" spans="3:3">
      <c r="C5526">
        <v>126937</v>
      </c>
    </row>
    <row r="5527" spans="3:3">
      <c r="C5527">
        <v>126960</v>
      </c>
    </row>
    <row r="5528" spans="3:3">
      <c r="C5528">
        <v>126983</v>
      </c>
    </row>
    <row r="5529" spans="3:3">
      <c r="C5529">
        <v>127006</v>
      </c>
    </row>
    <row r="5530" spans="3:3">
      <c r="C5530">
        <v>127029</v>
      </c>
    </row>
    <row r="5531" spans="3:3">
      <c r="C5531">
        <v>127052</v>
      </c>
    </row>
    <row r="5532" spans="3:3">
      <c r="C5532">
        <v>127075</v>
      </c>
    </row>
    <row r="5533" spans="3:3">
      <c r="C5533">
        <v>127098</v>
      </c>
    </row>
    <row r="5534" spans="3:3">
      <c r="C5534">
        <v>127121</v>
      </c>
    </row>
    <row r="5535" spans="3:3">
      <c r="C5535">
        <v>127144</v>
      </c>
    </row>
    <row r="5536" spans="3:3">
      <c r="C5536">
        <v>127167</v>
      </c>
    </row>
    <row r="5537" spans="3:3">
      <c r="C5537">
        <v>127190</v>
      </c>
    </row>
    <row r="5538" spans="3:3">
      <c r="C5538">
        <v>127213</v>
      </c>
    </row>
    <row r="5539" spans="3:3">
      <c r="C5539">
        <v>127237</v>
      </c>
    </row>
    <row r="5540" spans="3:3">
      <c r="C5540">
        <v>127260</v>
      </c>
    </row>
    <row r="5541" spans="3:3">
      <c r="C5541">
        <v>127283</v>
      </c>
    </row>
    <row r="5542" spans="3:3">
      <c r="C5542">
        <v>127306</v>
      </c>
    </row>
    <row r="5543" spans="3:3">
      <c r="C5543">
        <v>127329</v>
      </c>
    </row>
    <row r="5544" spans="3:3">
      <c r="C5544">
        <v>127352</v>
      </c>
    </row>
    <row r="5545" spans="3:3">
      <c r="C5545">
        <v>127375</v>
      </c>
    </row>
    <row r="5546" spans="3:3">
      <c r="C5546">
        <v>127398</v>
      </c>
    </row>
    <row r="5547" spans="3:3">
      <c r="C5547">
        <v>127421</v>
      </c>
    </row>
    <row r="5548" spans="3:3">
      <c r="C5548">
        <v>127444</v>
      </c>
    </row>
    <row r="5549" spans="3:3">
      <c r="C5549">
        <v>127467</v>
      </c>
    </row>
    <row r="5550" spans="3:3">
      <c r="C5550">
        <v>127490</v>
      </c>
    </row>
    <row r="5551" spans="3:3">
      <c r="C5551">
        <v>127513</v>
      </c>
    </row>
    <row r="5552" spans="3:3">
      <c r="C5552">
        <v>127537</v>
      </c>
    </row>
    <row r="5553" spans="3:3">
      <c r="C5553">
        <v>127560</v>
      </c>
    </row>
    <row r="5554" spans="3:3">
      <c r="C5554">
        <v>127583</v>
      </c>
    </row>
    <row r="5555" spans="3:3">
      <c r="C5555">
        <v>127606</v>
      </c>
    </row>
    <row r="5556" spans="3:3">
      <c r="C5556">
        <v>127629</v>
      </c>
    </row>
    <row r="5557" spans="3:3">
      <c r="C5557">
        <v>127652</v>
      </c>
    </row>
    <row r="5558" spans="3:3">
      <c r="C5558">
        <v>127675</v>
      </c>
    </row>
    <row r="5559" spans="3:3">
      <c r="C5559">
        <v>127698</v>
      </c>
    </row>
    <row r="5560" spans="3:3">
      <c r="C5560">
        <v>127721</v>
      </c>
    </row>
    <row r="5561" spans="3:3">
      <c r="C5561">
        <v>127744</v>
      </c>
    </row>
    <row r="5562" spans="3:3">
      <c r="C5562">
        <v>127767</v>
      </c>
    </row>
    <row r="5563" spans="3:3">
      <c r="C5563">
        <v>127790</v>
      </c>
    </row>
    <row r="5564" spans="3:3">
      <c r="C5564">
        <v>127813</v>
      </c>
    </row>
    <row r="5565" spans="3:3">
      <c r="C5565">
        <v>127837</v>
      </c>
    </row>
    <row r="5566" spans="3:3">
      <c r="C5566">
        <v>127860</v>
      </c>
    </row>
    <row r="5567" spans="3:3">
      <c r="C5567">
        <v>127883</v>
      </c>
    </row>
    <row r="5568" spans="3:3">
      <c r="C5568">
        <v>127906</v>
      </c>
    </row>
    <row r="5569" spans="3:3">
      <c r="C5569">
        <v>127929</v>
      </c>
    </row>
    <row r="5570" spans="3:3">
      <c r="C5570">
        <v>127952</v>
      </c>
    </row>
    <row r="5571" spans="3:3">
      <c r="C5571">
        <v>127975</v>
      </c>
    </row>
    <row r="5572" spans="3:3">
      <c r="C5572">
        <v>127998</v>
      </c>
    </row>
    <row r="5573" spans="3:3">
      <c r="C5573">
        <v>128021</v>
      </c>
    </row>
    <row r="5574" spans="3:3">
      <c r="C5574">
        <v>128044</v>
      </c>
    </row>
    <row r="5575" spans="3:3">
      <c r="C5575">
        <v>128067</v>
      </c>
    </row>
    <row r="5576" spans="3:3">
      <c r="C5576">
        <v>128090</v>
      </c>
    </row>
    <row r="5577" spans="3:3">
      <c r="C5577">
        <v>128113</v>
      </c>
    </row>
    <row r="5578" spans="3:3">
      <c r="C5578">
        <v>128137</v>
      </c>
    </row>
    <row r="5579" spans="3:3">
      <c r="C5579">
        <v>128160</v>
      </c>
    </row>
    <row r="5580" spans="3:3">
      <c r="C5580">
        <v>128183</v>
      </c>
    </row>
    <row r="5581" spans="3:3">
      <c r="C5581">
        <v>128206</v>
      </c>
    </row>
    <row r="5582" spans="3:3">
      <c r="C5582">
        <v>128229</v>
      </c>
    </row>
    <row r="5583" spans="3:3">
      <c r="C5583">
        <v>128252</v>
      </c>
    </row>
    <row r="5584" spans="3:3">
      <c r="C5584">
        <v>128275</v>
      </c>
    </row>
    <row r="5585" spans="3:3">
      <c r="C5585">
        <v>128298</v>
      </c>
    </row>
    <row r="5586" spans="3:3">
      <c r="C5586">
        <v>128321</v>
      </c>
    </row>
    <row r="5587" spans="3:3">
      <c r="C5587">
        <v>128344</v>
      </c>
    </row>
    <row r="5588" spans="3:3">
      <c r="C5588">
        <v>128367</v>
      </c>
    </row>
    <row r="5589" spans="3:3">
      <c r="C5589">
        <v>128390</v>
      </c>
    </row>
    <row r="5590" spans="3:3">
      <c r="C5590">
        <v>128413</v>
      </c>
    </row>
    <row r="5591" spans="3:3">
      <c r="C5591">
        <v>128437</v>
      </c>
    </row>
    <row r="5592" spans="3:3">
      <c r="C5592">
        <v>128460</v>
      </c>
    </row>
    <row r="5593" spans="3:3">
      <c r="C5593">
        <v>128483</v>
      </c>
    </row>
    <row r="5594" spans="3:3">
      <c r="C5594">
        <v>128506</v>
      </c>
    </row>
    <row r="5595" spans="3:3">
      <c r="C5595">
        <v>128529</v>
      </c>
    </row>
    <row r="5596" spans="3:3">
      <c r="C5596">
        <v>128552</v>
      </c>
    </row>
    <row r="5597" spans="3:3">
      <c r="C5597">
        <v>128575</v>
      </c>
    </row>
    <row r="5598" spans="3:3">
      <c r="C5598">
        <v>128598</v>
      </c>
    </row>
    <row r="5599" spans="3:3">
      <c r="C5599">
        <v>128621</v>
      </c>
    </row>
    <row r="5600" spans="3:3">
      <c r="C5600">
        <v>128644</v>
      </c>
    </row>
    <row r="5601" spans="3:3">
      <c r="C5601">
        <v>128667</v>
      </c>
    </row>
    <row r="5602" spans="3:3">
      <c r="C5602">
        <v>128690</v>
      </c>
    </row>
    <row r="5603" spans="3:3">
      <c r="C5603">
        <v>128713</v>
      </c>
    </row>
    <row r="5604" spans="3:3">
      <c r="C5604">
        <v>128737</v>
      </c>
    </row>
    <row r="5605" spans="3:3">
      <c r="C5605">
        <v>128760</v>
      </c>
    </row>
    <row r="5606" spans="3:3">
      <c r="C5606">
        <v>128783</v>
      </c>
    </row>
    <row r="5607" spans="3:3">
      <c r="C5607">
        <v>128806</v>
      </c>
    </row>
    <row r="5608" spans="3:3">
      <c r="C5608">
        <v>128829</v>
      </c>
    </row>
    <row r="5609" spans="3:3">
      <c r="C5609">
        <v>128852</v>
      </c>
    </row>
    <row r="5610" spans="3:3">
      <c r="C5610">
        <v>128875</v>
      </c>
    </row>
    <row r="5611" spans="3:3">
      <c r="C5611">
        <v>128898</v>
      </c>
    </row>
    <row r="5612" spans="3:3">
      <c r="C5612">
        <v>128921</v>
      </c>
    </row>
    <row r="5613" spans="3:3">
      <c r="C5613">
        <v>128944</v>
      </c>
    </row>
    <row r="5614" spans="3:3">
      <c r="C5614">
        <v>128967</v>
      </c>
    </row>
    <row r="5615" spans="3:3">
      <c r="C5615">
        <v>128990</v>
      </c>
    </row>
    <row r="5616" spans="3:3">
      <c r="C5616">
        <v>129013</v>
      </c>
    </row>
    <row r="5617" spans="3:3">
      <c r="C5617">
        <v>129037</v>
      </c>
    </row>
    <row r="5618" spans="3:3">
      <c r="C5618">
        <v>129060</v>
      </c>
    </row>
    <row r="5619" spans="3:3">
      <c r="C5619">
        <v>129083</v>
      </c>
    </row>
    <row r="5620" spans="3:3">
      <c r="C5620">
        <v>129106</v>
      </c>
    </row>
    <row r="5621" spans="3:3">
      <c r="C5621">
        <v>129129</v>
      </c>
    </row>
    <row r="5622" spans="3:3">
      <c r="C5622">
        <v>129152</v>
      </c>
    </row>
    <row r="5623" spans="3:3">
      <c r="C5623">
        <v>129175</v>
      </c>
    </row>
    <row r="5624" spans="3:3">
      <c r="C5624">
        <v>129198</v>
      </c>
    </row>
    <row r="5625" spans="3:3">
      <c r="C5625">
        <v>129221</v>
      </c>
    </row>
    <row r="5626" spans="3:3">
      <c r="C5626">
        <v>129244</v>
      </c>
    </row>
    <row r="5627" spans="3:3">
      <c r="C5627">
        <v>129267</v>
      </c>
    </row>
    <row r="5628" spans="3:3">
      <c r="C5628">
        <v>129290</v>
      </c>
    </row>
    <row r="5629" spans="3:3">
      <c r="C5629">
        <v>129313</v>
      </c>
    </row>
    <row r="5630" spans="3:3">
      <c r="C5630">
        <v>129337</v>
      </c>
    </row>
    <row r="5631" spans="3:3">
      <c r="C5631">
        <v>129360</v>
      </c>
    </row>
    <row r="5632" spans="3:3">
      <c r="C5632">
        <v>129383</v>
      </c>
    </row>
    <row r="5633" spans="3:3">
      <c r="C5633">
        <v>129406</v>
      </c>
    </row>
    <row r="5634" spans="3:3">
      <c r="C5634">
        <v>129429</v>
      </c>
    </row>
    <row r="5635" spans="3:3">
      <c r="C5635">
        <v>129452</v>
      </c>
    </row>
    <row r="5636" spans="3:3">
      <c r="C5636">
        <v>129475</v>
      </c>
    </row>
    <row r="5637" spans="3:3">
      <c r="C5637">
        <v>129498</v>
      </c>
    </row>
    <row r="5638" spans="3:3">
      <c r="C5638">
        <v>129521</v>
      </c>
    </row>
    <row r="5639" spans="3:3">
      <c r="C5639">
        <v>129544</v>
      </c>
    </row>
    <row r="5640" spans="3:3">
      <c r="C5640">
        <v>129567</v>
      </c>
    </row>
    <row r="5641" spans="3:3">
      <c r="C5641">
        <v>129590</v>
      </c>
    </row>
    <row r="5642" spans="3:3">
      <c r="C5642">
        <v>129613</v>
      </c>
    </row>
    <row r="5643" spans="3:3">
      <c r="C5643">
        <v>129637</v>
      </c>
    </row>
    <row r="5644" spans="3:3">
      <c r="C5644">
        <v>129660</v>
      </c>
    </row>
    <row r="5645" spans="3:3">
      <c r="C5645">
        <v>129683</v>
      </c>
    </row>
    <row r="5646" spans="3:3">
      <c r="C5646">
        <v>129706</v>
      </c>
    </row>
    <row r="5647" spans="3:3">
      <c r="C5647">
        <v>129729</v>
      </c>
    </row>
    <row r="5648" spans="3:3">
      <c r="C5648">
        <v>129752</v>
      </c>
    </row>
    <row r="5649" spans="3:3">
      <c r="C5649">
        <v>129775</v>
      </c>
    </row>
    <row r="5650" spans="3:3">
      <c r="C5650">
        <v>129798</v>
      </c>
    </row>
    <row r="5651" spans="3:3">
      <c r="C5651">
        <v>129821</v>
      </c>
    </row>
    <row r="5652" spans="3:3">
      <c r="C5652">
        <v>129844</v>
      </c>
    </row>
    <row r="5653" spans="3:3">
      <c r="C5653">
        <v>129867</v>
      </c>
    </row>
    <row r="5654" spans="3:3">
      <c r="C5654">
        <v>129890</v>
      </c>
    </row>
    <row r="5655" spans="3:3">
      <c r="C5655">
        <v>129913</v>
      </c>
    </row>
    <row r="5656" spans="3:3">
      <c r="C5656">
        <v>129937</v>
      </c>
    </row>
    <row r="5657" spans="3:3">
      <c r="C5657">
        <v>129960</v>
      </c>
    </row>
    <row r="5658" spans="3:3">
      <c r="C5658">
        <v>129983</v>
      </c>
    </row>
    <row r="5659" spans="3:3">
      <c r="C5659">
        <v>130006</v>
      </c>
    </row>
    <row r="5660" spans="3:3">
      <c r="C5660">
        <v>130029</v>
      </c>
    </row>
    <row r="5661" spans="3:3">
      <c r="C5661">
        <v>130052</v>
      </c>
    </row>
    <row r="5662" spans="3:3">
      <c r="C5662">
        <v>130075</v>
      </c>
    </row>
    <row r="5663" spans="3:3">
      <c r="C5663">
        <v>130098</v>
      </c>
    </row>
    <row r="5664" spans="3:3">
      <c r="C5664">
        <v>130121</v>
      </c>
    </row>
    <row r="5665" spans="3:3">
      <c r="C5665">
        <v>130144</v>
      </c>
    </row>
    <row r="5666" spans="3:3">
      <c r="C5666">
        <v>130167</v>
      </c>
    </row>
    <row r="5667" spans="3:3">
      <c r="C5667">
        <v>130190</v>
      </c>
    </row>
    <row r="5668" spans="3:3">
      <c r="C5668">
        <v>130213</v>
      </c>
    </row>
    <row r="5669" spans="3:3">
      <c r="C5669">
        <v>130237</v>
      </c>
    </row>
    <row r="5670" spans="3:3">
      <c r="C5670">
        <v>130260</v>
      </c>
    </row>
    <row r="5671" spans="3:3">
      <c r="C5671">
        <v>130283</v>
      </c>
    </row>
    <row r="5672" spans="3:3">
      <c r="C5672">
        <v>130306</v>
      </c>
    </row>
    <row r="5673" spans="3:3">
      <c r="C5673">
        <v>130329</v>
      </c>
    </row>
    <row r="5674" spans="3:3">
      <c r="C5674">
        <v>130352</v>
      </c>
    </row>
    <row r="5675" spans="3:3">
      <c r="C5675">
        <v>130375</v>
      </c>
    </row>
    <row r="5676" spans="3:3">
      <c r="C5676">
        <v>130398</v>
      </c>
    </row>
    <row r="5677" spans="3:3">
      <c r="C5677">
        <v>130421</v>
      </c>
    </row>
    <row r="5678" spans="3:3">
      <c r="C5678">
        <v>130444</v>
      </c>
    </row>
    <row r="5679" spans="3:3">
      <c r="C5679">
        <v>130467</v>
      </c>
    </row>
    <row r="5680" spans="3:3">
      <c r="C5680">
        <v>130490</v>
      </c>
    </row>
    <row r="5681" spans="3:3">
      <c r="C5681">
        <v>130513</v>
      </c>
    </row>
    <row r="5682" spans="3:3">
      <c r="C5682">
        <v>130537</v>
      </c>
    </row>
    <row r="5683" spans="3:3">
      <c r="C5683">
        <v>130560</v>
      </c>
    </row>
    <row r="5684" spans="3:3">
      <c r="C5684">
        <v>130583</v>
      </c>
    </row>
    <row r="5685" spans="3:3">
      <c r="C5685">
        <v>130606</v>
      </c>
    </row>
    <row r="5686" spans="3:3">
      <c r="C5686">
        <v>130629</v>
      </c>
    </row>
    <row r="5687" spans="3:3">
      <c r="C5687">
        <v>130652</v>
      </c>
    </row>
    <row r="5688" spans="3:3">
      <c r="C5688">
        <v>130675</v>
      </c>
    </row>
    <row r="5689" spans="3:3">
      <c r="C5689">
        <v>130698</v>
      </c>
    </row>
    <row r="5690" spans="3:3">
      <c r="C5690">
        <v>130721</v>
      </c>
    </row>
    <row r="5691" spans="3:3">
      <c r="C5691">
        <v>130744</v>
      </c>
    </row>
    <row r="5692" spans="3:3">
      <c r="C5692">
        <v>130767</v>
      </c>
    </row>
    <row r="5693" spans="3:3">
      <c r="C5693">
        <v>130790</v>
      </c>
    </row>
    <row r="5694" spans="3:3">
      <c r="C5694">
        <v>130813</v>
      </c>
    </row>
    <row r="5695" spans="3:3">
      <c r="C5695">
        <v>130837</v>
      </c>
    </row>
    <row r="5696" spans="3:3">
      <c r="C5696">
        <v>130860</v>
      </c>
    </row>
    <row r="5697" spans="3:3">
      <c r="C5697">
        <v>130883</v>
      </c>
    </row>
    <row r="5698" spans="3:3">
      <c r="C5698">
        <v>130906</v>
      </c>
    </row>
    <row r="5699" spans="3:3">
      <c r="C5699">
        <v>130929</v>
      </c>
    </row>
    <row r="5700" spans="3:3">
      <c r="C5700">
        <v>130952</v>
      </c>
    </row>
    <row r="5701" spans="3:3">
      <c r="C5701">
        <v>130975</v>
      </c>
    </row>
    <row r="5702" spans="3:3">
      <c r="C5702">
        <v>130998</v>
      </c>
    </row>
    <row r="5703" spans="3:3">
      <c r="C5703">
        <v>131021</v>
      </c>
    </row>
    <row r="5704" spans="3:3">
      <c r="C5704">
        <v>131044</v>
      </c>
    </row>
    <row r="5705" spans="3:3">
      <c r="C5705">
        <v>131067</v>
      </c>
    </row>
    <row r="5706" spans="3:3">
      <c r="C5706">
        <v>131090</v>
      </c>
    </row>
    <row r="5707" spans="3:3">
      <c r="C5707">
        <v>131113</v>
      </c>
    </row>
    <row r="5708" spans="3:3">
      <c r="C5708">
        <v>131137</v>
      </c>
    </row>
    <row r="5709" spans="3:3">
      <c r="C5709">
        <v>131160</v>
      </c>
    </row>
    <row r="5710" spans="3:3">
      <c r="C5710">
        <v>131183</v>
      </c>
    </row>
    <row r="5711" spans="3:3">
      <c r="C5711">
        <v>131206</v>
      </c>
    </row>
    <row r="5712" spans="3:3">
      <c r="C5712">
        <v>131229</v>
      </c>
    </row>
    <row r="5713" spans="3:3">
      <c r="C5713">
        <v>131252</v>
      </c>
    </row>
    <row r="5714" spans="3:3">
      <c r="C5714">
        <v>131275</v>
      </c>
    </row>
    <row r="5715" spans="3:3">
      <c r="C5715">
        <v>131298</v>
      </c>
    </row>
    <row r="5716" spans="3:3">
      <c r="C5716">
        <v>131321</v>
      </c>
    </row>
    <row r="5717" spans="3:3">
      <c r="C5717">
        <v>131344</v>
      </c>
    </row>
    <row r="5718" spans="3:3">
      <c r="C5718">
        <v>131367</v>
      </c>
    </row>
    <row r="5719" spans="3:3">
      <c r="C5719">
        <v>131390</v>
      </c>
    </row>
    <row r="5720" spans="3:3">
      <c r="C5720">
        <v>131413</v>
      </c>
    </row>
    <row r="5721" spans="3:3">
      <c r="C5721">
        <v>131437</v>
      </c>
    </row>
    <row r="5722" spans="3:3">
      <c r="C5722">
        <v>131460</v>
      </c>
    </row>
    <row r="5723" spans="3:3">
      <c r="C5723">
        <v>131483</v>
      </c>
    </row>
    <row r="5724" spans="3:3">
      <c r="C5724">
        <v>131506</v>
      </c>
    </row>
    <row r="5725" spans="3:3">
      <c r="C5725">
        <v>131529</v>
      </c>
    </row>
    <row r="5726" spans="3:3">
      <c r="C5726">
        <v>131552</v>
      </c>
    </row>
    <row r="5727" spans="3:3">
      <c r="C5727">
        <v>131575</v>
      </c>
    </row>
    <row r="5728" spans="3:3">
      <c r="C5728">
        <v>131598</v>
      </c>
    </row>
    <row r="5729" spans="3:3">
      <c r="C5729">
        <v>131621</v>
      </c>
    </row>
    <row r="5730" spans="3:3">
      <c r="C5730">
        <v>131644</v>
      </c>
    </row>
    <row r="5731" spans="3:3">
      <c r="C5731">
        <v>131667</v>
      </c>
    </row>
    <row r="5732" spans="3:3">
      <c r="C5732">
        <v>131690</v>
      </c>
    </row>
    <row r="5733" spans="3:3">
      <c r="C5733">
        <v>131713</v>
      </c>
    </row>
    <row r="5734" spans="3:3">
      <c r="C5734">
        <v>131737</v>
      </c>
    </row>
    <row r="5735" spans="3:3">
      <c r="C5735">
        <v>131760</v>
      </c>
    </row>
    <row r="5736" spans="3:3">
      <c r="C5736">
        <v>131783</v>
      </c>
    </row>
    <row r="5737" spans="3:3">
      <c r="C5737">
        <v>131806</v>
      </c>
    </row>
    <row r="5738" spans="3:3">
      <c r="C5738">
        <v>131829</v>
      </c>
    </row>
    <row r="5739" spans="3:3">
      <c r="C5739">
        <v>131852</v>
      </c>
    </row>
    <row r="5740" spans="3:3">
      <c r="C5740">
        <v>131875</v>
      </c>
    </row>
    <row r="5741" spans="3:3">
      <c r="C5741">
        <v>131898</v>
      </c>
    </row>
    <row r="5742" spans="3:3">
      <c r="C5742">
        <v>131921</v>
      </c>
    </row>
    <row r="5743" spans="3:3">
      <c r="C5743">
        <v>131944</v>
      </c>
    </row>
    <row r="5744" spans="3:3">
      <c r="C5744">
        <v>131967</v>
      </c>
    </row>
    <row r="5745" spans="3:3">
      <c r="C5745">
        <v>131990</v>
      </c>
    </row>
    <row r="5746" spans="3:3">
      <c r="C5746">
        <v>132013</v>
      </c>
    </row>
    <row r="5747" spans="3:3">
      <c r="C5747">
        <v>132037</v>
      </c>
    </row>
    <row r="5748" spans="3:3">
      <c r="C5748">
        <v>132060</v>
      </c>
    </row>
    <row r="5749" spans="3:3">
      <c r="C5749">
        <v>132083</v>
      </c>
    </row>
    <row r="5750" spans="3:3">
      <c r="C5750">
        <v>132106</v>
      </c>
    </row>
    <row r="5751" spans="3:3">
      <c r="C5751">
        <v>132129</v>
      </c>
    </row>
    <row r="5752" spans="3:3">
      <c r="C5752">
        <v>132152</v>
      </c>
    </row>
    <row r="5753" spans="3:3">
      <c r="C5753">
        <v>132175</v>
      </c>
    </row>
    <row r="5754" spans="3:3">
      <c r="C5754">
        <v>132198</v>
      </c>
    </row>
    <row r="5755" spans="3:3">
      <c r="C5755">
        <v>132221</v>
      </c>
    </row>
    <row r="5756" spans="3:3">
      <c r="C5756">
        <v>132244</v>
      </c>
    </row>
    <row r="5757" spans="3:3">
      <c r="C5757">
        <v>132267</v>
      </c>
    </row>
    <row r="5758" spans="3:3">
      <c r="C5758">
        <v>132290</v>
      </c>
    </row>
    <row r="5759" spans="3:3">
      <c r="C5759">
        <v>132313</v>
      </c>
    </row>
    <row r="5760" spans="3:3">
      <c r="C5760">
        <v>132337</v>
      </c>
    </row>
    <row r="5761" spans="3:3">
      <c r="C5761">
        <v>132360</v>
      </c>
    </row>
    <row r="5762" spans="3:3">
      <c r="C5762">
        <v>132383</v>
      </c>
    </row>
    <row r="5763" spans="3:3">
      <c r="C5763">
        <v>132406</v>
      </c>
    </row>
    <row r="5764" spans="3:3">
      <c r="C5764">
        <v>132429</v>
      </c>
    </row>
    <row r="5765" spans="3:3">
      <c r="C5765">
        <v>132452</v>
      </c>
    </row>
    <row r="5766" spans="3:3">
      <c r="C5766">
        <v>132475</v>
      </c>
    </row>
    <row r="5767" spans="3:3">
      <c r="C5767">
        <v>132498</v>
      </c>
    </row>
    <row r="5768" spans="3:3">
      <c r="C5768">
        <v>132521</v>
      </c>
    </row>
    <row r="5769" spans="3:3">
      <c r="C5769">
        <v>132544</v>
      </c>
    </row>
    <row r="5770" spans="3:3">
      <c r="C5770">
        <v>132567</v>
      </c>
    </row>
    <row r="5771" spans="3:3">
      <c r="C5771">
        <v>132590</v>
      </c>
    </row>
    <row r="5772" spans="3:3">
      <c r="C5772">
        <v>132613</v>
      </c>
    </row>
    <row r="5773" spans="3:3">
      <c r="C5773">
        <v>132637</v>
      </c>
    </row>
    <row r="5774" spans="3:3">
      <c r="C5774">
        <v>132660</v>
      </c>
    </row>
    <row r="5775" spans="3:3">
      <c r="C5775">
        <v>132683</v>
      </c>
    </row>
    <row r="5776" spans="3:3">
      <c r="C5776">
        <v>132706</v>
      </c>
    </row>
    <row r="5777" spans="3:3">
      <c r="C5777">
        <v>132729</v>
      </c>
    </row>
    <row r="5778" spans="3:3">
      <c r="C5778">
        <v>132752</v>
      </c>
    </row>
    <row r="5779" spans="3:3">
      <c r="C5779">
        <v>132775</v>
      </c>
    </row>
    <row r="5780" spans="3:3">
      <c r="C5780">
        <v>132798</v>
      </c>
    </row>
    <row r="5781" spans="3:3">
      <c r="C5781">
        <v>132821</v>
      </c>
    </row>
    <row r="5782" spans="3:3">
      <c r="C5782">
        <v>132844</v>
      </c>
    </row>
    <row r="5783" spans="3:3">
      <c r="C5783">
        <v>132867</v>
      </c>
    </row>
    <row r="5784" spans="3:3">
      <c r="C5784">
        <v>132890</v>
      </c>
    </row>
    <row r="5785" spans="3:3">
      <c r="C5785">
        <v>132913</v>
      </c>
    </row>
    <row r="5786" spans="3:3">
      <c r="C5786">
        <v>132937</v>
      </c>
    </row>
    <row r="5787" spans="3:3">
      <c r="C5787">
        <v>132960</v>
      </c>
    </row>
    <row r="5788" spans="3:3">
      <c r="C5788">
        <v>132983</v>
      </c>
    </row>
    <row r="5789" spans="3:3">
      <c r="C5789">
        <v>133006</v>
      </c>
    </row>
    <row r="5790" spans="3:3">
      <c r="C5790">
        <v>133029</v>
      </c>
    </row>
    <row r="5791" spans="3:3">
      <c r="C5791">
        <v>133052</v>
      </c>
    </row>
    <row r="5792" spans="3:3">
      <c r="C5792">
        <v>133075</v>
      </c>
    </row>
    <row r="5793" spans="3:3">
      <c r="C5793">
        <v>133098</v>
      </c>
    </row>
    <row r="5794" spans="3:3">
      <c r="C5794">
        <v>133121</v>
      </c>
    </row>
    <row r="5795" spans="3:3">
      <c r="C5795">
        <v>133144</v>
      </c>
    </row>
    <row r="5796" spans="3:3">
      <c r="C5796">
        <v>133167</v>
      </c>
    </row>
    <row r="5797" spans="3:3">
      <c r="C5797">
        <v>133190</v>
      </c>
    </row>
    <row r="5798" spans="3:3">
      <c r="C5798">
        <v>133213</v>
      </c>
    </row>
    <row r="5799" spans="3:3">
      <c r="C5799">
        <v>133237</v>
      </c>
    </row>
    <row r="5800" spans="3:3">
      <c r="C5800">
        <v>133260</v>
      </c>
    </row>
    <row r="5801" spans="3:3">
      <c r="C5801">
        <v>133283</v>
      </c>
    </row>
    <row r="5802" spans="3:3">
      <c r="C5802">
        <v>133306</v>
      </c>
    </row>
    <row r="5803" spans="3:3">
      <c r="C5803">
        <v>133329</v>
      </c>
    </row>
    <row r="5804" spans="3:3">
      <c r="C5804">
        <v>133352</v>
      </c>
    </row>
    <row r="5805" spans="3:3">
      <c r="C5805">
        <v>133375</v>
      </c>
    </row>
    <row r="5806" spans="3:3">
      <c r="C5806">
        <v>133398</v>
      </c>
    </row>
    <row r="5807" spans="3:3">
      <c r="C5807">
        <v>133421</v>
      </c>
    </row>
    <row r="5808" spans="3:3">
      <c r="C5808">
        <v>133444</v>
      </c>
    </row>
    <row r="5809" spans="3:3">
      <c r="C5809">
        <v>133467</v>
      </c>
    </row>
    <row r="5810" spans="3:3">
      <c r="C5810">
        <v>133490</v>
      </c>
    </row>
    <row r="5811" spans="3:3">
      <c r="C5811">
        <v>133513</v>
      </c>
    </row>
    <row r="5812" spans="3:3">
      <c r="C5812">
        <v>133537</v>
      </c>
    </row>
    <row r="5813" spans="3:3">
      <c r="C5813">
        <v>133560</v>
      </c>
    </row>
    <row r="5814" spans="3:3">
      <c r="C5814">
        <v>133583</v>
      </c>
    </row>
    <row r="5815" spans="3:3">
      <c r="C5815">
        <v>133606</v>
      </c>
    </row>
    <row r="5816" spans="3:3">
      <c r="C5816">
        <v>133629</v>
      </c>
    </row>
    <row r="5817" spans="3:3">
      <c r="C5817">
        <v>133652</v>
      </c>
    </row>
    <row r="5818" spans="3:3">
      <c r="C5818">
        <v>133675</v>
      </c>
    </row>
    <row r="5819" spans="3:3">
      <c r="C5819">
        <v>133698</v>
      </c>
    </row>
    <row r="5820" spans="3:3">
      <c r="C5820">
        <v>133721</v>
      </c>
    </row>
    <row r="5821" spans="3:3">
      <c r="C5821">
        <v>133744</v>
      </c>
    </row>
    <row r="5822" spans="3:3">
      <c r="C5822">
        <v>133767</v>
      </c>
    </row>
    <row r="5823" spans="3:3">
      <c r="C5823">
        <v>133790</v>
      </c>
    </row>
    <row r="5824" spans="3:3">
      <c r="C5824">
        <v>133813</v>
      </c>
    </row>
    <row r="5825" spans="3:3">
      <c r="C5825">
        <v>133837</v>
      </c>
    </row>
    <row r="5826" spans="3:3">
      <c r="C5826">
        <v>133860</v>
      </c>
    </row>
    <row r="5827" spans="3:3">
      <c r="C5827">
        <v>133883</v>
      </c>
    </row>
    <row r="5828" spans="3:3">
      <c r="C5828">
        <v>133906</v>
      </c>
    </row>
    <row r="5829" spans="3:3">
      <c r="C5829">
        <v>133929</v>
      </c>
    </row>
    <row r="5830" spans="3:3">
      <c r="C5830">
        <v>133952</v>
      </c>
    </row>
    <row r="5831" spans="3:3">
      <c r="C5831">
        <v>133975</v>
      </c>
    </row>
    <row r="5832" spans="3:3">
      <c r="C5832">
        <v>133998</v>
      </c>
    </row>
    <row r="5833" spans="3:3">
      <c r="C5833">
        <v>134021</v>
      </c>
    </row>
    <row r="5834" spans="3:3">
      <c r="C5834">
        <v>134044</v>
      </c>
    </row>
    <row r="5835" spans="3:3">
      <c r="C5835">
        <v>134067</v>
      </c>
    </row>
    <row r="5836" spans="3:3">
      <c r="C5836">
        <v>134090</v>
      </c>
    </row>
    <row r="5837" spans="3:3">
      <c r="C5837">
        <v>134113</v>
      </c>
    </row>
    <row r="5838" spans="3:3">
      <c r="C5838">
        <v>134137</v>
      </c>
    </row>
    <row r="5839" spans="3:3">
      <c r="C5839">
        <v>134160</v>
      </c>
    </row>
    <row r="5840" spans="3:3">
      <c r="C5840">
        <v>134183</v>
      </c>
    </row>
    <row r="5841" spans="3:3">
      <c r="C5841">
        <v>134206</v>
      </c>
    </row>
    <row r="5842" spans="3:3">
      <c r="C5842">
        <v>134229</v>
      </c>
    </row>
    <row r="5843" spans="3:3">
      <c r="C5843">
        <v>134252</v>
      </c>
    </row>
    <row r="5844" spans="3:3">
      <c r="C5844">
        <v>134275</v>
      </c>
    </row>
    <row r="5845" spans="3:3">
      <c r="C5845">
        <v>134298</v>
      </c>
    </row>
    <row r="5846" spans="3:3">
      <c r="C5846">
        <v>134321</v>
      </c>
    </row>
    <row r="5847" spans="3:3">
      <c r="C5847">
        <v>134344</v>
      </c>
    </row>
    <row r="5848" spans="3:3">
      <c r="C5848">
        <v>134367</v>
      </c>
    </row>
    <row r="5849" spans="3:3">
      <c r="C5849">
        <v>134390</v>
      </c>
    </row>
    <row r="5850" spans="3:3">
      <c r="C5850">
        <v>134413</v>
      </c>
    </row>
    <row r="5851" spans="3:3">
      <c r="C5851">
        <v>134437</v>
      </c>
    </row>
    <row r="5852" spans="3:3">
      <c r="C5852">
        <v>134460</v>
      </c>
    </row>
    <row r="5853" spans="3:3">
      <c r="C5853">
        <v>134483</v>
      </c>
    </row>
    <row r="5854" spans="3:3">
      <c r="C5854">
        <v>134506</v>
      </c>
    </row>
    <row r="5855" spans="3:3">
      <c r="C5855">
        <v>134529</v>
      </c>
    </row>
    <row r="5856" spans="3:3">
      <c r="C5856">
        <v>134552</v>
      </c>
    </row>
    <row r="5857" spans="3:3">
      <c r="C5857">
        <v>134575</v>
      </c>
    </row>
    <row r="5858" spans="3:3">
      <c r="C5858">
        <v>134598</v>
      </c>
    </row>
    <row r="5859" spans="3:3">
      <c r="C5859">
        <v>134621</v>
      </c>
    </row>
    <row r="5860" spans="3:3">
      <c r="C5860">
        <v>134644</v>
      </c>
    </row>
    <row r="5861" spans="3:3">
      <c r="C5861">
        <v>134667</v>
      </c>
    </row>
    <row r="5862" spans="3:3">
      <c r="C5862">
        <v>134690</v>
      </c>
    </row>
    <row r="5863" spans="3:3">
      <c r="C5863">
        <v>134713</v>
      </c>
    </row>
    <row r="5864" spans="3:3">
      <c r="C5864">
        <v>134737</v>
      </c>
    </row>
    <row r="5865" spans="3:3">
      <c r="C5865">
        <v>134760</v>
      </c>
    </row>
    <row r="5866" spans="3:3">
      <c r="C5866">
        <v>134783</v>
      </c>
    </row>
    <row r="5867" spans="3:3">
      <c r="C5867">
        <v>134806</v>
      </c>
    </row>
    <row r="5868" spans="3:3">
      <c r="C5868">
        <v>134829</v>
      </c>
    </row>
    <row r="5869" spans="3:3">
      <c r="C5869">
        <v>134852</v>
      </c>
    </row>
    <row r="5870" spans="3:3">
      <c r="C5870">
        <v>134875</v>
      </c>
    </row>
    <row r="5871" spans="3:3">
      <c r="C5871">
        <v>134898</v>
      </c>
    </row>
    <row r="5872" spans="3:3">
      <c r="C5872">
        <v>134921</v>
      </c>
    </row>
    <row r="5873" spans="3:3">
      <c r="C5873">
        <v>134944</v>
      </c>
    </row>
    <row r="5874" spans="3:3">
      <c r="C5874">
        <v>134967</v>
      </c>
    </row>
    <row r="5875" spans="3:3">
      <c r="C5875">
        <v>134990</v>
      </c>
    </row>
    <row r="5876" spans="3:3">
      <c r="C5876">
        <v>135013</v>
      </c>
    </row>
    <row r="5877" spans="3:3">
      <c r="C5877">
        <v>135037</v>
      </c>
    </row>
    <row r="5878" spans="3:3">
      <c r="C5878">
        <v>135060</v>
      </c>
    </row>
    <row r="5879" spans="3:3">
      <c r="C5879">
        <v>135083</v>
      </c>
    </row>
    <row r="5880" spans="3:3">
      <c r="C5880">
        <v>135106</v>
      </c>
    </row>
    <row r="5881" spans="3:3">
      <c r="C5881">
        <v>135129</v>
      </c>
    </row>
    <row r="5882" spans="3:3">
      <c r="C5882">
        <v>135152</v>
      </c>
    </row>
    <row r="5883" spans="3:3">
      <c r="C5883">
        <v>135175</v>
      </c>
    </row>
    <row r="5884" spans="3:3">
      <c r="C5884">
        <v>135198</v>
      </c>
    </row>
    <row r="5885" spans="3:3">
      <c r="C5885">
        <v>135221</v>
      </c>
    </row>
    <row r="5886" spans="3:3">
      <c r="C5886">
        <v>135244</v>
      </c>
    </row>
    <row r="5887" spans="3:3">
      <c r="C5887">
        <v>135267</v>
      </c>
    </row>
    <row r="5888" spans="3:3">
      <c r="C5888">
        <v>135290</v>
      </c>
    </row>
    <row r="5889" spans="3:3">
      <c r="C5889">
        <v>135313</v>
      </c>
    </row>
    <row r="5890" spans="3:3">
      <c r="C5890">
        <v>135337</v>
      </c>
    </row>
    <row r="5891" spans="3:3">
      <c r="C5891">
        <v>135360</v>
      </c>
    </row>
    <row r="5892" spans="3:3">
      <c r="C5892">
        <v>135383</v>
      </c>
    </row>
    <row r="5893" spans="3:3">
      <c r="C5893">
        <v>135406</v>
      </c>
    </row>
    <row r="5894" spans="3:3">
      <c r="C5894">
        <v>135429</v>
      </c>
    </row>
    <row r="5895" spans="3:3">
      <c r="C5895">
        <v>135452</v>
      </c>
    </row>
    <row r="5896" spans="3:3">
      <c r="C5896">
        <v>135475</v>
      </c>
    </row>
    <row r="5897" spans="3:3">
      <c r="C5897">
        <v>135498</v>
      </c>
    </row>
    <row r="5898" spans="3:3">
      <c r="C5898">
        <v>135521</v>
      </c>
    </row>
    <row r="5899" spans="3:3">
      <c r="C5899">
        <v>135544</v>
      </c>
    </row>
    <row r="5900" spans="3:3">
      <c r="C5900">
        <v>135567</v>
      </c>
    </row>
    <row r="5901" spans="3:3">
      <c r="C5901">
        <v>135590</v>
      </c>
    </row>
    <row r="5902" spans="3:3">
      <c r="C5902">
        <v>135613</v>
      </c>
    </row>
    <row r="5903" spans="3:3">
      <c r="C5903">
        <v>135637</v>
      </c>
    </row>
    <row r="5904" spans="3:3">
      <c r="C5904">
        <v>135660</v>
      </c>
    </row>
    <row r="5905" spans="3:3">
      <c r="C5905">
        <v>135683</v>
      </c>
    </row>
    <row r="5906" spans="3:3">
      <c r="C5906">
        <v>135706</v>
      </c>
    </row>
    <row r="5907" spans="3:3">
      <c r="C5907">
        <v>135729</v>
      </c>
    </row>
    <row r="5908" spans="3:3">
      <c r="C5908">
        <v>135752</v>
      </c>
    </row>
    <row r="5909" spans="3:3">
      <c r="C5909">
        <v>135775</v>
      </c>
    </row>
    <row r="5910" spans="3:3">
      <c r="C5910">
        <v>135798</v>
      </c>
    </row>
    <row r="5911" spans="3:3">
      <c r="C5911">
        <v>135821</v>
      </c>
    </row>
    <row r="5912" spans="3:3">
      <c r="C5912">
        <v>135844</v>
      </c>
    </row>
    <row r="5913" spans="3:3">
      <c r="C5913">
        <v>135867</v>
      </c>
    </row>
    <row r="5914" spans="3:3">
      <c r="C5914">
        <v>135890</v>
      </c>
    </row>
    <row r="5915" spans="3:3">
      <c r="C5915">
        <v>135913</v>
      </c>
    </row>
    <row r="5916" spans="3:3">
      <c r="C5916">
        <v>135937</v>
      </c>
    </row>
    <row r="5917" spans="3:3">
      <c r="C5917">
        <v>135960</v>
      </c>
    </row>
    <row r="5918" spans="3:3">
      <c r="C5918">
        <v>135983</v>
      </c>
    </row>
    <row r="5919" spans="3:3">
      <c r="C5919">
        <v>136006</v>
      </c>
    </row>
    <row r="5920" spans="3:3">
      <c r="C5920">
        <v>136029</v>
      </c>
    </row>
    <row r="5921" spans="3:3">
      <c r="C5921">
        <v>136052</v>
      </c>
    </row>
    <row r="5922" spans="3:3">
      <c r="C5922">
        <v>136075</v>
      </c>
    </row>
    <row r="5923" spans="3:3">
      <c r="C5923">
        <v>136098</v>
      </c>
    </row>
    <row r="5924" spans="3:3">
      <c r="C5924">
        <v>136121</v>
      </c>
    </row>
    <row r="5925" spans="3:3">
      <c r="C5925">
        <v>136144</v>
      </c>
    </row>
    <row r="5926" spans="3:3">
      <c r="C5926">
        <v>136167</v>
      </c>
    </row>
    <row r="5927" spans="3:3">
      <c r="C5927">
        <v>136190</v>
      </c>
    </row>
    <row r="5928" spans="3:3">
      <c r="C5928">
        <v>136213</v>
      </c>
    </row>
    <row r="5929" spans="3:3">
      <c r="C5929">
        <v>136237</v>
      </c>
    </row>
    <row r="5930" spans="3:3">
      <c r="C5930">
        <v>136260</v>
      </c>
    </row>
    <row r="5931" spans="3:3">
      <c r="C5931">
        <v>136283</v>
      </c>
    </row>
    <row r="5932" spans="3:3">
      <c r="C5932">
        <v>136306</v>
      </c>
    </row>
    <row r="5933" spans="3:3">
      <c r="C5933">
        <v>136329</v>
      </c>
    </row>
    <row r="5934" spans="3:3">
      <c r="C5934">
        <v>136352</v>
      </c>
    </row>
    <row r="5935" spans="3:3">
      <c r="C5935">
        <v>136375</v>
      </c>
    </row>
    <row r="5936" spans="3:3">
      <c r="C5936">
        <v>136398</v>
      </c>
    </row>
    <row r="5937" spans="3:3">
      <c r="C5937">
        <v>136421</v>
      </c>
    </row>
    <row r="5938" spans="3:3">
      <c r="C5938">
        <v>136444</v>
      </c>
    </row>
    <row r="5939" spans="3:3">
      <c r="C5939">
        <v>136467</v>
      </c>
    </row>
    <row r="5940" spans="3:3">
      <c r="C5940">
        <v>136490</v>
      </c>
    </row>
    <row r="5941" spans="3:3">
      <c r="C5941">
        <v>136513</v>
      </c>
    </row>
    <row r="5942" spans="3:3">
      <c r="C5942">
        <v>136537</v>
      </c>
    </row>
    <row r="5943" spans="3:3">
      <c r="C5943">
        <v>136560</v>
      </c>
    </row>
    <row r="5944" spans="3:3">
      <c r="C5944">
        <v>136583</v>
      </c>
    </row>
    <row r="5945" spans="3:3">
      <c r="C5945">
        <v>136606</v>
      </c>
    </row>
    <row r="5946" spans="3:3">
      <c r="C5946">
        <v>136629</v>
      </c>
    </row>
    <row r="5947" spans="3:3">
      <c r="C5947">
        <v>136652</v>
      </c>
    </row>
    <row r="5948" spans="3:3">
      <c r="C5948">
        <v>136675</v>
      </c>
    </row>
    <row r="5949" spans="3:3">
      <c r="C5949">
        <v>136698</v>
      </c>
    </row>
    <row r="5950" spans="3:3">
      <c r="C5950">
        <v>136721</v>
      </c>
    </row>
    <row r="5951" spans="3:3">
      <c r="C5951">
        <v>136744</v>
      </c>
    </row>
    <row r="5952" spans="3:3">
      <c r="C5952">
        <v>136767</v>
      </c>
    </row>
    <row r="5953" spans="3:3">
      <c r="C5953">
        <v>136790</v>
      </c>
    </row>
    <row r="5954" spans="3:3">
      <c r="C5954">
        <v>136813</v>
      </c>
    </row>
    <row r="5955" spans="3:3">
      <c r="C5955">
        <v>136837</v>
      </c>
    </row>
    <row r="5956" spans="3:3">
      <c r="C5956">
        <v>136860</v>
      </c>
    </row>
    <row r="5957" spans="3:3">
      <c r="C5957">
        <v>136883</v>
      </c>
    </row>
    <row r="5958" spans="3:3">
      <c r="C5958">
        <v>136906</v>
      </c>
    </row>
    <row r="5959" spans="3:3">
      <c r="C5959">
        <v>136929</v>
      </c>
    </row>
    <row r="5960" spans="3:3">
      <c r="C5960">
        <v>136952</v>
      </c>
    </row>
    <row r="5961" spans="3:3">
      <c r="C5961">
        <v>136975</v>
      </c>
    </row>
    <row r="5962" spans="3:3">
      <c r="C5962">
        <v>136998</v>
      </c>
    </row>
    <row r="5963" spans="3:3">
      <c r="C5963">
        <v>137021</v>
      </c>
    </row>
    <row r="5964" spans="3:3">
      <c r="C5964">
        <v>137044</v>
      </c>
    </row>
    <row r="5965" spans="3:3">
      <c r="C5965">
        <v>137067</v>
      </c>
    </row>
    <row r="5966" spans="3:3">
      <c r="C5966">
        <v>137090</v>
      </c>
    </row>
    <row r="5967" spans="3:3">
      <c r="C5967">
        <v>137113</v>
      </c>
    </row>
    <row r="5968" spans="3:3">
      <c r="C5968">
        <v>137137</v>
      </c>
    </row>
    <row r="5969" spans="3:3">
      <c r="C5969">
        <v>137160</v>
      </c>
    </row>
    <row r="5970" spans="3:3">
      <c r="C5970">
        <v>137183</v>
      </c>
    </row>
    <row r="5971" spans="3:3">
      <c r="C5971">
        <v>137206</v>
      </c>
    </row>
    <row r="5972" spans="3:3">
      <c r="C5972">
        <v>137229</v>
      </c>
    </row>
    <row r="5973" spans="3:3">
      <c r="C5973">
        <v>137252</v>
      </c>
    </row>
    <row r="5974" spans="3:3">
      <c r="C5974">
        <v>137275</v>
      </c>
    </row>
    <row r="5975" spans="3:3">
      <c r="C5975">
        <v>137298</v>
      </c>
    </row>
    <row r="5976" spans="3:3">
      <c r="C5976">
        <v>137321</v>
      </c>
    </row>
    <row r="5977" spans="3:3">
      <c r="C5977">
        <v>137344</v>
      </c>
    </row>
    <row r="5978" spans="3:3">
      <c r="C5978">
        <v>137367</v>
      </c>
    </row>
    <row r="5979" spans="3:3">
      <c r="C5979">
        <v>137390</v>
      </c>
    </row>
    <row r="5980" spans="3:3">
      <c r="C5980">
        <v>137413</v>
      </c>
    </row>
    <row r="5981" spans="3:3">
      <c r="C5981">
        <v>137437</v>
      </c>
    </row>
    <row r="5982" spans="3:3">
      <c r="C5982">
        <v>137460</v>
      </c>
    </row>
    <row r="5983" spans="3:3">
      <c r="C5983">
        <v>137483</v>
      </c>
    </row>
    <row r="5984" spans="3:3">
      <c r="C5984">
        <v>137506</v>
      </c>
    </row>
    <row r="5985" spans="3:3">
      <c r="C5985">
        <v>137529</v>
      </c>
    </row>
    <row r="5986" spans="3:3">
      <c r="C5986">
        <v>137552</v>
      </c>
    </row>
    <row r="5987" spans="3:3">
      <c r="C5987">
        <v>137575</v>
      </c>
    </row>
    <row r="5988" spans="3:3">
      <c r="C5988">
        <v>137598</v>
      </c>
    </row>
    <row r="5989" spans="3:3">
      <c r="C5989">
        <v>137621</v>
      </c>
    </row>
    <row r="5990" spans="3:3">
      <c r="C5990">
        <v>137644</v>
      </c>
    </row>
    <row r="5991" spans="3:3">
      <c r="C5991">
        <v>137667</v>
      </c>
    </row>
    <row r="5992" spans="3:3">
      <c r="C5992">
        <v>137690</v>
      </c>
    </row>
    <row r="5993" spans="3:3">
      <c r="C5993">
        <v>137713</v>
      </c>
    </row>
    <row r="5994" spans="3:3">
      <c r="C5994">
        <v>137737</v>
      </c>
    </row>
    <row r="5995" spans="3:3">
      <c r="C5995">
        <v>137760</v>
      </c>
    </row>
    <row r="5996" spans="3:3">
      <c r="C5996">
        <v>137783</v>
      </c>
    </row>
    <row r="5997" spans="3:3">
      <c r="C5997">
        <v>137806</v>
      </c>
    </row>
    <row r="5998" spans="3:3">
      <c r="C5998">
        <v>137829</v>
      </c>
    </row>
    <row r="5999" spans="3:3">
      <c r="C5999">
        <v>137852</v>
      </c>
    </row>
    <row r="6000" spans="3:3">
      <c r="C6000">
        <v>137875</v>
      </c>
    </row>
    <row r="6001" spans="3:3">
      <c r="C6001">
        <v>137898</v>
      </c>
    </row>
    <row r="6002" spans="3:3">
      <c r="C6002">
        <v>137921</v>
      </c>
    </row>
    <row r="6003" spans="3:3">
      <c r="C6003">
        <v>137944</v>
      </c>
    </row>
    <row r="6004" spans="3:3">
      <c r="C6004">
        <v>137967</v>
      </c>
    </row>
    <row r="6005" spans="3:3">
      <c r="C6005">
        <v>137990</v>
      </c>
    </row>
    <row r="6006" spans="3:3">
      <c r="C6006">
        <v>138013</v>
      </c>
    </row>
    <row r="6007" spans="3:3">
      <c r="C6007">
        <v>138037</v>
      </c>
    </row>
    <row r="6008" spans="3:3">
      <c r="C6008">
        <v>138060</v>
      </c>
    </row>
    <row r="6009" spans="3:3">
      <c r="C6009">
        <v>138083</v>
      </c>
    </row>
    <row r="6010" spans="3:3">
      <c r="C6010">
        <v>138106</v>
      </c>
    </row>
    <row r="6011" spans="3:3">
      <c r="C6011">
        <v>138129</v>
      </c>
    </row>
    <row r="6012" spans="3:3">
      <c r="C6012">
        <v>138152</v>
      </c>
    </row>
    <row r="6013" spans="3:3">
      <c r="C6013">
        <v>138175</v>
      </c>
    </row>
    <row r="6014" spans="3:3">
      <c r="C6014">
        <v>138198</v>
      </c>
    </row>
    <row r="6015" spans="3:3">
      <c r="C6015">
        <v>138221</v>
      </c>
    </row>
    <row r="6016" spans="3:3">
      <c r="C6016">
        <v>138244</v>
      </c>
    </row>
    <row r="6017" spans="3:3">
      <c r="C6017">
        <v>138267</v>
      </c>
    </row>
    <row r="6018" spans="3:3">
      <c r="C6018">
        <v>138290</v>
      </c>
    </row>
    <row r="6019" spans="3:3">
      <c r="C6019">
        <v>138313</v>
      </c>
    </row>
    <row r="6020" spans="3:3">
      <c r="C6020">
        <v>138337</v>
      </c>
    </row>
    <row r="6021" spans="3:3">
      <c r="C6021">
        <v>138360</v>
      </c>
    </row>
    <row r="6022" spans="3:3">
      <c r="C6022">
        <v>138383</v>
      </c>
    </row>
    <row r="6023" spans="3:3">
      <c r="C6023">
        <v>138406</v>
      </c>
    </row>
    <row r="6024" spans="3:3">
      <c r="C6024">
        <v>138429</v>
      </c>
    </row>
    <row r="6025" spans="3:3">
      <c r="C6025">
        <v>138452</v>
      </c>
    </row>
    <row r="6026" spans="3:3">
      <c r="C6026">
        <v>138475</v>
      </c>
    </row>
    <row r="6027" spans="3:3">
      <c r="C6027">
        <v>138498</v>
      </c>
    </row>
    <row r="6028" spans="3:3">
      <c r="C6028">
        <v>138521</v>
      </c>
    </row>
    <row r="6029" spans="3:3">
      <c r="C6029">
        <v>138544</v>
      </c>
    </row>
    <row r="6030" spans="3:3">
      <c r="C6030">
        <v>138567</v>
      </c>
    </row>
    <row r="6031" spans="3:3">
      <c r="C6031">
        <v>138590</v>
      </c>
    </row>
    <row r="6032" spans="3:3">
      <c r="C6032">
        <v>138613</v>
      </c>
    </row>
    <row r="6033" spans="3:3">
      <c r="C6033">
        <v>138637</v>
      </c>
    </row>
    <row r="6034" spans="3:3">
      <c r="C6034">
        <v>138660</v>
      </c>
    </row>
    <row r="6035" spans="3:3">
      <c r="C6035">
        <v>138683</v>
      </c>
    </row>
    <row r="6036" spans="3:3">
      <c r="C6036">
        <v>138706</v>
      </c>
    </row>
    <row r="6037" spans="3:3">
      <c r="C6037">
        <v>138729</v>
      </c>
    </row>
    <row r="6038" spans="3:3">
      <c r="C6038">
        <v>138752</v>
      </c>
    </row>
    <row r="6039" spans="3:3">
      <c r="C6039">
        <v>138775</v>
      </c>
    </row>
    <row r="6040" spans="3:3">
      <c r="C6040">
        <v>138798</v>
      </c>
    </row>
    <row r="6041" spans="3:3">
      <c r="C6041">
        <v>138821</v>
      </c>
    </row>
    <row r="6042" spans="3:3">
      <c r="C6042">
        <v>138844</v>
      </c>
    </row>
    <row r="6043" spans="3:3">
      <c r="C6043">
        <v>138867</v>
      </c>
    </row>
    <row r="6044" spans="3:3">
      <c r="C6044">
        <v>138890</v>
      </c>
    </row>
    <row r="6045" spans="3:3">
      <c r="C6045">
        <v>138913</v>
      </c>
    </row>
    <row r="6046" spans="3:3">
      <c r="C6046">
        <v>138937</v>
      </c>
    </row>
    <row r="6047" spans="3:3">
      <c r="C6047">
        <v>138960</v>
      </c>
    </row>
    <row r="6048" spans="3:3">
      <c r="C6048">
        <v>138983</v>
      </c>
    </row>
    <row r="6049" spans="3:3">
      <c r="C6049">
        <v>139006</v>
      </c>
    </row>
    <row r="6050" spans="3:3">
      <c r="C6050">
        <v>139029</v>
      </c>
    </row>
    <row r="6051" spans="3:3">
      <c r="C6051">
        <v>139052</v>
      </c>
    </row>
    <row r="6052" spans="3:3">
      <c r="C6052">
        <v>139075</v>
      </c>
    </row>
    <row r="6053" spans="3:3">
      <c r="C6053">
        <v>139098</v>
      </c>
    </row>
    <row r="6054" spans="3:3">
      <c r="C6054">
        <v>139121</v>
      </c>
    </row>
    <row r="6055" spans="3:3">
      <c r="C6055">
        <v>139144</v>
      </c>
    </row>
    <row r="6056" spans="3:3">
      <c r="C6056">
        <v>139167</v>
      </c>
    </row>
    <row r="6057" spans="3:3">
      <c r="C6057">
        <v>139190</v>
      </c>
    </row>
    <row r="6058" spans="3:3">
      <c r="C6058">
        <v>139213</v>
      </c>
    </row>
    <row r="6059" spans="3:3">
      <c r="C6059">
        <v>139237</v>
      </c>
    </row>
    <row r="6060" spans="3:3">
      <c r="C6060">
        <v>139260</v>
      </c>
    </row>
    <row r="6061" spans="3:3">
      <c r="C6061">
        <v>139283</v>
      </c>
    </row>
    <row r="6062" spans="3:3">
      <c r="C6062">
        <v>139306</v>
      </c>
    </row>
    <row r="6063" spans="3:3">
      <c r="C6063">
        <v>139329</v>
      </c>
    </row>
    <row r="6064" spans="3:3">
      <c r="C6064">
        <v>139352</v>
      </c>
    </row>
    <row r="6065" spans="3:3">
      <c r="C6065">
        <v>139375</v>
      </c>
    </row>
    <row r="6066" spans="3:3">
      <c r="C6066">
        <v>139398</v>
      </c>
    </row>
    <row r="6067" spans="3:3">
      <c r="C6067">
        <v>139421</v>
      </c>
    </row>
    <row r="6068" spans="3:3">
      <c r="C6068">
        <v>139444</v>
      </c>
    </row>
    <row r="6069" spans="3:3">
      <c r="C6069">
        <v>139467</v>
      </c>
    </row>
    <row r="6070" spans="3:3">
      <c r="C6070">
        <v>139490</v>
      </c>
    </row>
    <row r="6071" spans="3:3">
      <c r="C6071">
        <v>139513</v>
      </c>
    </row>
    <row r="6072" spans="3:3">
      <c r="C6072">
        <v>139537</v>
      </c>
    </row>
    <row r="6073" spans="3:3">
      <c r="C6073">
        <v>139560</v>
      </c>
    </row>
    <row r="6074" spans="3:3">
      <c r="C6074">
        <v>139583</v>
      </c>
    </row>
    <row r="6075" spans="3:3">
      <c r="C6075">
        <v>139606</v>
      </c>
    </row>
    <row r="6076" spans="3:3">
      <c r="C6076">
        <v>139629</v>
      </c>
    </row>
    <row r="6077" spans="3:3">
      <c r="C6077">
        <v>139652</v>
      </c>
    </row>
    <row r="6078" spans="3:3">
      <c r="C6078">
        <v>139675</v>
      </c>
    </row>
    <row r="6079" spans="3:3">
      <c r="C6079">
        <v>139698</v>
      </c>
    </row>
    <row r="6080" spans="3:3">
      <c r="C6080">
        <v>139721</v>
      </c>
    </row>
    <row r="6081" spans="3:3">
      <c r="C6081">
        <v>139744</v>
      </c>
    </row>
    <row r="6082" spans="3:3">
      <c r="C6082">
        <v>139767</v>
      </c>
    </row>
    <row r="6083" spans="3:3">
      <c r="C6083">
        <v>139790</v>
      </c>
    </row>
    <row r="6084" spans="3:3">
      <c r="C6084">
        <v>139813</v>
      </c>
    </row>
    <row r="6085" spans="3:3">
      <c r="C6085">
        <v>139837</v>
      </c>
    </row>
    <row r="6086" spans="3:3">
      <c r="C6086">
        <v>139860</v>
      </c>
    </row>
    <row r="6087" spans="3:3">
      <c r="C6087">
        <v>139883</v>
      </c>
    </row>
    <row r="6088" spans="3:3">
      <c r="C6088">
        <v>139906</v>
      </c>
    </row>
    <row r="6089" spans="3:3">
      <c r="C6089">
        <v>139929</v>
      </c>
    </row>
    <row r="6090" spans="3:3">
      <c r="C6090">
        <v>139952</v>
      </c>
    </row>
    <row r="6091" spans="3:3">
      <c r="C6091">
        <v>139975</v>
      </c>
    </row>
    <row r="6092" spans="3:3">
      <c r="C6092">
        <v>139998</v>
      </c>
    </row>
    <row r="6093" spans="3:3">
      <c r="C6093">
        <v>140021</v>
      </c>
    </row>
    <row r="6094" spans="3:3">
      <c r="C6094">
        <v>140044</v>
      </c>
    </row>
    <row r="6095" spans="3:3">
      <c r="C6095">
        <v>140067</v>
      </c>
    </row>
    <row r="6096" spans="3:3">
      <c r="C6096">
        <v>140090</v>
      </c>
    </row>
    <row r="6097" spans="3:3">
      <c r="C6097">
        <v>140113</v>
      </c>
    </row>
    <row r="6098" spans="3:3">
      <c r="C6098">
        <v>140137</v>
      </c>
    </row>
    <row r="6099" spans="3:3">
      <c r="C6099">
        <v>140160</v>
      </c>
    </row>
    <row r="6100" spans="3:3">
      <c r="C6100">
        <v>140183</v>
      </c>
    </row>
    <row r="6101" spans="3:3">
      <c r="C6101">
        <v>140206</v>
      </c>
    </row>
    <row r="6102" spans="3:3">
      <c r="C6102">
        <v>140229</v>
      </c>
    </row>
    <row r="6103" spans="3:3">
      <c r="C6103">
        <v>140252</v>
      </c>
    </row>
    <row r="6104" spans="3:3">
      <c r="C6104">
        <v>140275</v>
      </c>
    </row>
    <row r="6105" spans="3:3">
      <c r="C6105">
        <v>140298</v>
      </c>
    </row>
    <row r="6106" spans="3:3">
      <c r="C6106">
        <v>140321</v>
      </c>
    </row>
    <row r="6107" spans="3:3">
      <c r="C6107">
        <v>140344</v>
      </c>
    </row>
    <row r="6108" spans="3:3">
      <c r="C6108">
        <v>140367</v>
      </c>
    </row>
    <row r="6109" spans="3:3">
      <c r="C6109">
        <v>140390</v>
      </c>
    </row>
    <row r="6110" spans="3:3">
      <c r="C6110">
        <v>140413</v>
      </c>
    </row>
    <row r="6111" spans="3:3">
      <c r="C6111">
        <v>140437</v>
      </c>
    </row>
    <row r="6112" spans="3:3">
      <c r="C6112">
        <v>140460</v>
      </c>
    </row>
    <row r="6113" spans="3:3">
      <c r="C6113">
        <v>140483</v>
      </c>
    </row>
    <row r="6114" spans="3:3">
      <c r="C6114">
        <v>140506</v>
      </c>
    </row>
    <row r="6115" spans="3:3">
      <c r="C6115">
        <v>140529</v>
      </c>
    </row>
    <row r="6116" spans="3:3">
      <c r="C6116">
        <v>140552</v>
      </c>
    </row>
    <row r="6117" spans="3:3">
      <c r="C6117">
        <v>140575</v>
      </c>
    </row>
    <row r="6118" spans="3:3">
      <c r="C6118">
        <v>140598</v>
      </c>
    </row>
    <row r="6119" spans="3:3">
      <c r="C6119">
        <v>140621</v>
      </c>
    </row>
    <row r="6120" spans="3:3">
      <c r="C6120">
        <v>140644</v>
      </c>
    </row>
    <row r="6121" spans="3:3">
      <c r="C6121">
        <v>140667</v>
      </c>
    </row>
    <row r="6122" spans="3:3">
      <c r="C6122">
        <v>140690</v>
      </c>
    </row>
    <row r="6123" spans="3:3">
      <c r="C6123">
        <v>140713</v>
      </c>
    </row>
    <row r="6124" spans="3:3">
      <c r="C6124">
        <v>140737</v>
      </c>
    </row>
    <row r="6125" spans="3:3">
      <c r="C6125">
        <v>140760</v>
      </c>
    </row>
    <row r="6126" spans="3:3">
      <c r="C6126">
        <v>140783</v>
      </c>
    </row>
    <row r="6127" spans="3:3">
      <c r="C6127">
        <v>140806</v>
      </c>
    </row>
    <row r="6128" spans="3:3">
      <c r="C6128">
        <v>140829</v>
      </c>
    </row>
    <row r="6129" spans="3:3">
      <c r="C6129">
        <v>140852</v>
      </c>
    </row>
    <row r="6130" spans="3:3">
      <c r="C6130">
        <v>140875</v>
      </c>
    </row>
    <row r="6131" spans="3:3">
      <c r="C6131">
        <v>140898</v>
      </c>
    </row>
    <row r="6132" spans="3:3">
      <c r="C6132">
        <v>140921</v>
      </c>
    </row>
    <row r="6133" spans="3:3">
      <c r="C6133">
        <v>140944</v>
      </c>
    </row>
    <row r="6134" spans="3:3">
      <c r="C6134">
        <v>140967</v>
      </c>
    </row>
    <row r="6135" spans="3:3">
      <c r="C6135">
        <v>140990</v>
      </c>
    </row>
    <row r="6136" spans="3:3">
      <c r="C6136">
        <v>141013</v>
      </c>
    </row>
    <row r="6137" spans="3:3">
      <c r="C6137">
        <v>141037</v>
      </c>
    </row>
    <row r="6138" spans="3:3">
      <c r="C6138">
        <v>141060</v>
      </c>
    </row>
    <row r="6139" spans="3:3">
      <c r="C6139">
        <v>141083</v>
      </c>
    </row>
    <row r="6140" spans="3:3">
      <c r="C6140">
        <v>141106</v>
      </c>
    </row>
    <row r="6141" spans="3:3">
      <c r="C6141">
        <v>141129</v>
      </c>
    </row>
    <row r="6142" spans="3:3">
      <c r="C6142">
        <v>141152</v>
      </c>
    </row>
    <row r="6143" spans="3:3">
      <c r="C6143">
        <v>141175</v>
      </c>
    </row>
    <row r="6144" spans="3:3">
      <c r="C6144">
        <v>141198</v>
      </c>
    </row>
    <row r="6145" spans="3:3">
      <c r="C6145">
        <v>141221</v>
      </c>
    </row>
    <row r="6146" spans="3:3">
      <c r="C6146">
        <v>141244</v>
      </c>
    </row>
    <row r="6147" spans="3:3">
      <c r="C6147">
        <v>141267</v>
      </c>
    </row>
    <row r="6148" spans="3:3">
      <c r="C6148">
        <v>141290</v>
      </c>
    </row>
    <row r="6149" spans="3:3">
      <c r="C6149">
        <v>141313</v>
      </c>
    </row>
    <row r="6150" spans="3:3">
      <c r="C6150">
        <v>141337</v>
      </c>
    </row>
    <row r="6151" spans="3:3">
      <c r="C6151">
        <v>141360</v>
      </c>
    </row>
    <row r="6152" spans="3:3">
      <c r="C6152">
        <v>141383</v>
      </c>
    </row>
    <row r="6153" spans="3:3">
      <c r="C6153">
        <v>141406</v>
      </c>
    </row>
    <row r="6154" spans="3:3">
      <c r="C6154">
        <v>141429</v>
      </c>
    </row>
    <row r="6155" spans="3:3">
      <c r="C6155">
        <v>141452</v>
      </c>
    </row>
    <row r="6156" spans="3:3">
      <c r="C6156">
        <v>141475</v>
      </c>
    </row>
    <row r="6157" spans="3:3">
      <c r="C6157">
        <v>141498</v>
      </c>
    </row>
    <row r="6158" spans="3:3">
      <c r="C6158">
        <v>141521</v>
      </c>
    </row>
    <row r="6159" spans="3:3">
      <c r="C6159">
        <v>141544</v>
      </c>
    </row>
    <row r="6160" spans="3:3">
      <c r="C6160">
        <v>141567</v>
      </c>
    </row>
    <row r="6161" spans="3:3">
      <c r="C6161">
        <v>141590</v>
      </c>
    </row>
    <row r="6162" spans="3:3">
      <c r="C6162">
        <v>141613</v>
      </c>
    </row>
    <row r="6163" spans="3:3">
      <c r="C6163">
        <v>141637</v>
      </c>
    </row>
    <row r="6164" spans="3:3">
      <c r="C6164">
        <v>141660</v>
      </c>
    </row>
    <row r="6165" spans="3:3">
      <c r="C6165">
        <v>141683</v>
      </c>
    </row>
    <row r="6166" spans="3:3">
      <c r="C6166">
        <v>141706</v>
      </c>
    </row>
    <row r="6167" spans="3:3">
      <c r="C6167">
        <v>141729</v>
      </c>
    </row>
    <row r="6168" spans="3:3">
      <c r="C6168">
        <v>141752</v>
      </c>
    </row>
    <row r="6169" spans="3:3">
      <c r="C6169">
        <v>141775</v>
      </c>
    </row>
    <row r="6170" spans="3:3">
      <c r="C6170">
        <v>141798</v>
      </c>
    </row>
    <row r="6171" spans="3:3">
      <c r="C6171">
        <v>141821</v>
      </c>
    </row>
    <row r="6172" spans="3:3">
      <c r="C6172">
        <v>141844</v>
      </c>
    </row>
    <row r="6173" spans="3:3">
      <c r="C6173">
        <v>141867</v>
      </c>
    </row>
    <row r="6174" spans="3:3">
      <c r="C6174">
        <v>141890</v>
      </c>
    </row>
    <row r="6175" spans="3:3">
      <c r="C6175">
        <v>141913</v>
      </c>
    </row>
    <row r="6176" spans="3:3">
      <c r="C6176">
        <v>141937</v>
      </c>
    </row>
    <row r="6177" spans="3:3">
      <c r="C6177">
        <v>141960</v>
      </c>
    </row>
    <row r="6178" spans="3:3">
      <c r="C6178">
        <v>141983</v>
      </c>
    </row>
    <row r="6179" spans="3:3">
      <c r="C6179">
        <v>142006</v>
      </c>
    </row>
    <row r="6180" spans="3:3">
      <c r="C6180">
        <v>142029</v>
      </c>
    </row>
    <row r="6181" spans="3:3">
      <c r="C6181">
        <v>142052</v>
      </c>
    </row>
    <row r="6182" spans="3:3">
      <c r="C6182">
        <v>142075</v>
      </c>
    </row>
    <row r="6183" spans="3:3">
      <c r="C6183">
        <v>142098</v>
      </c>
    </row>
    <row r="6184" spans="3:3">
      <c r="C6184">
        <v>142121</v>
      </c>
    </row>
    <row r="6185" spans="3:3">
      <c r="C6185">
        <v>142144</v>
      </c>
    </row>
    <row r="6186" spans="3:3">
      <c r="C6186">
        <v>142167</v>
      </c>
    </row>
    <row r="6187" spans="3:3">
      <c r="C6187">
        <v>142190</v>
      </c>
    </row>
    <row r="6188" spans="3:3">
      <c r="C6188">
        <v>142213</v>
      </c>
    </row>
    <row r="6189" spans="3:3">
      <c r="C6189">
        <v>142237</v>
      </c>
    </row>
    <row r="6190" spans="3:3">
      <c r="C6190">
        <v>142260</v>
      </c>
    </row>
    <row r="6191" spans="3:3">
      <c r="C6191">
        <v>142283</v>
      </c>
    </row>
    <row r="6192" spans="3:3">
      <c r="C6192">
        <v>142306</v>
      </c>
    </row>
    <row r="6193" spans="3:3">
      <c r="C6193">
        <v>142329</v>
      </c>
    </row>
    <row r="6194" spans="3:3">
      <c r="C6194">
        <v>142352</v>
      </c>
    </row>
    <row r="6195" spans="3:3">
      <c r="C6195">
        <v>142375</v>
      </c>
    </row>
    <row r="6196" spans="3:3">
      <c r="C6196">
        <v>142398</v>
      </c>
    </row>
    <row r="6197" spans="3:3">
      <c r="C6197">
        <v>142421</v>
      </c>
    </row>
    <row r="6198" spans="3:3">
      <c r="C6198">
        <v>142444</v>
      </c>
    </row>
    <row r="6199" spans="3:3">
      <c r="C6199">
        <v>142467</v>
      </c>
    </row>
    <row r="6200" spans="3:3">
      <c r="C6200">
        <v>142490</v>
      </c>
    </row>
    <row r="6201" spans="3:3">
      <c r="C6201">
        <v>142513</v>
      </c>
    </row>
    <row r="6202" spans="3:3">
      <c r="C6202">
        <v>142537</v>
      </c>
    </row>
    <row r="6203" spans="3:3">
      <c r="C6203">
        <v>142560</v>
      </c>
    </row>
    <row r="6204" spans="3:3">
      <c r="C6204">
        <v>142583</v>
      </c>
    </row>
    <row r="6205" spans="3:3">
      <c r="C6205">
        <v>142606</v>
      </c>
    </row>
    <row r="6206" spans="3:3">
      <c r="C6206">
        <v>142629</v>
      </c>
    </row>
    <row r="6207" spans="3:3">
      <c r="C6207">
        <v>142652</v>
      </c>
    </row>
    <row r="6208" spans="3:3">
      <c r="C6208">
        <v>142675</v>
      </c>
    </row>
    <row r="6209" spans="3:3">
      <c r="C6209">
        <v>142698</v>
      </c>
    </row>
    <row r="6210" spans="3:3">
      <c r="C6210">
        <v>142721</v>
      </c>
    </row>
    <row r="6211" spans="3:3">
      <c r="C6211">
        <v>142744</v>
      </c>
    </row>
    <row r="6212" spans="3:3">
      <c r="C6212">
        <v>142767</v>
      </c>
    </row>
    <row r="6213" spans="3:3">
      <c r="C6213">
        <v>142790</v>
      </c>
    </row>
    <row r="6214" spans="3:3">
      <c r="C6214">
        <v>142813</v>
      </c>
    </row>
    <row r="6215" spans="3:3">
      <c r="C6215">
        <v>142837</v>
      </c>
    </row>
    <row r="6216" spans="3:3">
      <c r="C6216">
        <v>142860</v>
      </c>
    </row>
    <row r="6217" spans="3:3">
      <c r="C6217">
        <v>142883</v>
      </c>
    </row>
    <row r="6218" spans="3:3">
      <c r="C6218">
        <v>142906</v>
      </c>
    </row>
    <row r="6219" spans="3:3">
      <c r="C6219">
        <v>142929</v>
      </c>
    </row>
    <row r="6220" spans="3:3">
      <c r="C6220">
        <v>142952</v>
      </c>
    </row>
    <row r="6221" spans="3:3">
      <c r="C6221">
        <v>142975</v>
      </c>
    </row>
    <row r="6222" spans="3:3">
      <c r="C6222">
        <v>142998</v>
      </c>
    </row>
    <row r="6223" spans="3:3">
      <c r="C6223">
        <v>143021</v>
      </c>
    </row>
    <row r="6224" spans="3:3">
      <c r="C6224">
        <v>143044</v>
      </c>
    </row>
    <row r="6225" spans="3:3">
      <c r="C6225">
        <v>143067</v>
      </c>
    </row>
    <row r="6226" spans="3:3">
      <c r="C6226">
        <v>143090</v>
      </c>
    </row>
    <row r="6227" spans="3:3">
      <c r="C6227">
        <v>143113</v>
      </c>
    </row>
    <row r="6228" spans="3:3">
      <c r="C6228">
        <v>143137</v>
      </c>
    </row>
    <row r="6229" spans="3:3">
      <c r="C6229">
        <v>143160</v>
      </c>
    </row>
    <row r="6230" spans="3:3">
      <c r="C6230">
        <v>143183</v>
      </c>
    </row>
    <row r="6231" spans="3:3">
      <c r="C6231">
        <v>143206</v>
      </c>
    </row>
    <row r="6232" spans="3:3">
      <c r="C6232">
        <v>143229</v>
      </c>
    </row>
    <row r="6233" spans="3:3">
      <c r="C6233">
        <v>143252</v>
      </c>
    </row>
    <row r="6234" spans="3:3">
      <c r="C6234">
        <v>143275</v>
      </c>
    </row>
    <row r="6235" spans="3:3">
      <c r="C6235">
        <v>143298</v>
      </c>
    </row>
    <row r="6236" spans="3:3">
      <c r="C6236">
        <v>143321</v>
      </c>
    </row>
    <row r="6237" spans="3:3">
      <c r="C6237">
        <v>143344</v>
      </c>
    </row>
    <row r="6238" spans="3:3">
      <c r="C6238">
        <v>143367</v>
      </c>
    </row>
    <row r="6239" spans="3:3">
      <c r="C6239">
        <v>143390</v>
      </c>
    </row>
    <row r="6240" spans="3:3">
      <c r="C6240">
        <v>143413</v>
      </c>
    </row>
    <row r="6241" spans="3:3">
      <c r="C6241">
        <v>143437</v>
      </c>
    </row>
    <row r="6242" spans="3:3">
      <c r="C6242">
        <v>143460</v>
      </c>
    </row>
    <row r="6243" spans="3:3">
      <c r="C6243">
        <v>143483</v>
      </c>
    </row>
    <row r="6244" spans="3:3">
      <c r="C6244">
        <v>143506</v>
      </c>
    </row>
    <row r="6245" spans="3:3">
      <c r="C6245">
        <v>143529</v>
      </c>
    </row>
    <row r="6246" spans="3:3">
      <c r="C6246">
        <v>143552</v>
      </c>
    </row>
    <row r="6247" spans="3:3">
      <c r="C6247">
        <v>143575</v>
      </c>
    </row>
    <row r="6248" spans="3:3">
      <c r="C6248">
        <v>143598</v>
      </c>
    </row>
    <row r="6249" spans="3:3">
      <c r="C6249">
        <v>143621</v>
      </c>
    </row>
    <row r="6250" spans="3:3">
      <c r="C6250">
        <v>143644</v>
      </c>
    </row>
    <row r="6251" spans="3:3">
      <c r="C6251">
        <v>143667</v>
      </c>
    </row>
    <row r="6252" spans="3:3">
      <c r="C6252">
        <v>143690</v>
      </c>
    </row>
    <row r="6253" spans="3:3">
      <c r="C6253">
        <v>143713</v>
      </c>
    </row>
    <row r="6254" spans="3:3">
      <c r="C6254">
        <v>143737</v>
      </c>
    </row>
    <row r="6255" spans="3:3">
      <c r="C6255">
        <v>143760</v>
      </c>
    </row>
    <row r="6256" spans="3:3">
      <c r="C6256">
        <v>143783</v>
      </c>
    </row>
    <row r="6257" spans="3:3">
      <c r="C6257">
        <v>143806</v>
      </c>
    </row>
    <row r="6258" spans="3:3">
      <c r="C6258">
        <v>143829</v>
      </c>
    </row>
    <row r="6259" spans="3:3">
      <c r="C6259">
        <v>143852</v>
      </c>
    </row>
    <row r="6260" spans="3:3">
      <c r="C6260">
        <v>143875</v>
      </c>
    </row>
    <row r="6261" spans="3:3">
      <c r="C6261">
        <v>143898</v>
      </c>
    </row>
    <row r="6262" spans="3:3">
      <c r="C6262">
        <v>143921</v>
      </c>
    </row>
    <row r="6263" spans="3:3">
      <c r="C6263">
        <v>143944</v>
      </c>
    </row>
    <row r="6264" spans="3:3">
      <c r="C6264">
        <v>143967</v>
      </c>
    </row>
    <row r="6265" spans="3:3">
      <c r="C6265">
        <v>143990</v>
      </c>
    </row>
    <row r="6266" spans="3:3">
      <c r="C6266">
        <v>144013</v>
      </c>
    </row>
    <row r="6267" spans="3:3">
      <c r="C6267">
        <v>144037</v>
      </c>
    </row>
    <row r="6268" spans="3:3">
      <c r="C6268">
        <v>144060</v>
      </c>
    </row>
    <row r="6269" spans="3:3">
      <c r="C6269">
        <v>144083</v>
      </c>
    </row>
    <row r="6270" spans="3:3">
      <c r="C6270">
        <v>144106</v>
      </c>
    </row>
    <row r="6271" spans="3:3">
      <c r="C6271">
        <v>144129</v>
      </c>
    </row>
    <row r="6272" spans="3:3">
      <c r="C6272">
        <v>144152</v>
      </c>
    </row>
    <row r="6273" spans="3:3">
      <c r="C6273">
        <v>144175</v>
      </c>
    </row>
    <row r="6274" spans="3:3">
      <c r="C6274">
        <v>144198</v>
      </c>
    </row>
    <row r="6275" spans="3:3">
      <c r="C6275">
        <v>144221</v>
      </c>
    </row>
    <row r="6276" spans="3:3">
      <c r="C6276">
        <v>144244</v>
      </c>
    </row>
    <row r="6277" spans="3:3">
      <c r="C6277">
        <v>144267</v>
      </c>
    </row>
    <row r="6278" spans="3:3">
      <c r="C6278">
        <v>144290</v>
      </c>
    </row>
    <row r="6279" spans="3:3">
      <c r="C6279">
        <v>144313</v>
      </c>
    </row>
    <row r="6280" spans="3:3">
      <c r="C6280">
        <v>144337</v>
      </c>
    </row>
    <row r="6281" spans="3:3">
      <c r="C6281">
        <v>144360</v>
      </c>
    </row>
    <row r="6282" spans="3:3">
      <c r="C6282">
        <v>144383</v>
      </c>
    </row>
    <row r="6283" spans="3:3">
      <c r="C6283">
        <v>144406</v>
      </c>
    </row>
    <row r="6284" spans="3:3">
      <c r="C6284">
        <v>144429</v>
      </c>
    </row>
    <row r="6285" spans="3:3">
      <c r="C6285">
        <v>144452</v>
      </c>
    </row>
    <row r="6286" spans="3:3">
      <c r="C6286">
        <v>144475</v>
      </c>
    </row>
    <row r="6287" spans="3:3">
      <c r="C6287">
        <v>144498</v>
      </c>
    </row>
    <row r="6288" spans="3:3">
      <c r="C6288">
        <v>144521</v>
      </c>
    </row>
    <row r="6289" spans="3:3">
      <c r="C6289">
        <v>144544</v>
      </c>
    </row>
    <row r="6290" spans="3:3">
      <c r="C6290">
        <v>144567</v>
      </c>
    </row>
    <row r="6291" spans="3:3">
      <c r="C6291">
        <v>144590</v>
      </c>
    </row>
    <row r="6292" spans="3:3">
      <c r="C6292">
        <v>144613</v>
      </c>
    </row>
    <row r="6293" spans="3:3">
      <c r="C6293">
        <v>144637</v>
      </c>
    </row>
    <row r="6294" spans="3:3">
      <c r="C6294">
        <v>144660</v>
      </c>
    </row>
    <row r="6295" spans="3:3">
      <c r="C6295">
        <v>144683</v>
      </c>
    </row>
    <row r="6296" spans="3:3">
      <c r="C6296">
        <v>144706</v>
      </c>
    </row>
    <row r="6297" spans="3:3">
      <c r="C6297">
        <v>144729</v>
      </c>
    </row>
    <row r="6298" spans="3:3">
      <c r="C6298">
        <v>144752</v>
      </c>
    </row>
    <row r="6299" spans="3:3">
      <c r="C6299">
        <v>144775</v>
      </c>
    </row>
    <row r="6300" spans="3:3">
      <c r="C6300">
        <v>144798</v>
      </c>
    </row>
    <row r="6301" spans="3:3">
      <c r="C6301">
        <v>144821</v>
      </c>
    </row>
    <row r="6302" spans="3:3">
      <c r="C6302">
        <v>144844</v>
      </c>
    </row>
    <row r="6303" spans="3:3">
      <c r="C6303">
        <v>144867</v>
      </c>
    </row>
    <row r="6304" spans="3:3">
      <c r="C6304">
        <v>144890</v>
      </c>
    </row>
    <row r="6305" spans="3:3">
      <c r="C6305">
        <v>144913</v>
      </c>
    </row>
    <row r="6306" spans="3:3">
      <c r="C6306">
        <v>144937</v>
      </c>
    </row>
    <row r="6307" spans="3:3">
      <c r="C6307">
        <v>144960</v>
      </c>
    </row>
    <row r="6308" spans="3:3">
      <c r="C6308">
        <v>144983</v>
      </c>
    </row>
    <row r="6309" spans="3:3">
      <c r="C6309">
        <v>145006</v>
      </c>
    </row>
    <row r="6310" spans="3:3">
      <c r="C6310">
        <v>145029</v>
      </c>
    </row>
    <row r="6311" spans="3:3">
      <c r="C6311">
        <v>145052</v>
      </c>
    </row>
    <row r="6312" spans="3:3">
      <c r="C6312">
        <v>145075</v>
      </c>
    </row>
    <row r="6313" spans="3:3">
      <c r="C6313">
        <v>145098</v>
      </c>
    </row>
    <row r="6314" spans="3:3">
      <c r="C6314">
        <v>145121</v>
      </c>
    </row>
    <row r="6315" spans="3:3">
      <c r="C6315">
        <v>145144</v>
      </c>
    </row>
    <row r="6316" spans="3:3">
      <c r="C6316">
        <v>145167</v>
      </c>
    </row>
    <row r="6317" spans="3:3">
      <c r="C6317">
        <v>145190</v>
      </c>
    </row>
    <row r="6318" spans="3:3">
      <c r="C6318">
        <v>145213</v>
      </c>
    </row>
    <row r="6319" spans="3:3">
      <c r="C6319">
        <v>145237</v>
      </c>
    </row>
    <row r="6320" spans="3:3">
      <c r="C6320">
        <v>145260</v>
      </c>
    </row>
    <row r="6321" spans="3:3">
      <c r="C6321">
        <v>145283</v>
      </c>
    </row>
    <row r="6322" spans="3:3">
      <c r="C6322">
        <v>145306</v>
      </c>
    </row>
    <row r="6323" spans="3:3">
      <c r="C6323">
        <v>145329</v>
      </c>
    </row>
    <row r="6324" spans="3:3">
      <c r="C6324">
        <v>145352</v>
      </c>
    </row>
    <row r="6325" spans="3:3">
      <c r="C6325">
        <v>145375</v>
      </c>
    </row>
    <row r="6326" spans="3:3">
      <c r="C6326">
        <v>145398</v>
      </c>
    </row>
    <row r="6327" spans="3:3">
      <c r="C6327">
        <v>145421</v>
      </c>
    </row>
    <row r="6328" spans="3:3">
      <c r="C6328">
        <v>145444</v>
      </c>
    </row>
    <row r="6329" spans="3:3">
      <c r="C6329">
        <v>145467</v>
      </c>
    </row>
    <row r="6330" spans="3:3">
      <c r="C6330">
        <v>145490</v>
      </c>
    </row>
    <row r="6331" spans="3:3">
      <c r="C6331">
        <v>145513</v>
      </c>
    </row>
    <row r="6332" spans="3:3">
      <c r="C6332">
        <v>145537</v>
      </c>
    </row>
    <row r="6333" spans="3:3">
      <c r="C6333">
        <v>145560</v>
      </c>
    </row>
    <row r="6334" spans="3:3">
      <c r="C6334">
        <v>145583</v>
      </c>
    </row>
    <row r="6335" spans="3:3">
      <c r="C6335">
        <v>145606</v>
      </c>
    </row>
    <row r="6336" spans="3:3">
      <c r="C6336">
        <v>145629</v>
      </c>
    </row>
    <row r="6337" spans="3:3">
      <c r="C6337">
        <v>145652</v>
      </c>
    </row>
    <row r="6338" spans="3:3">
      <c r="C6338">
        <v>145675</v>
      </c>
    </row>
    <row r="6339" spans="3:3">
      <c r="C6339">
        <v>145698</v>
      </c>
    </row>
    <row r="6340" spans="3:3">
      <c r="C6340">
        <v>145721</v>
      </c>
    </row>
    <row r="6341" spans="3:3">
      <c r="C6341">
        <v>145744</v>
      </c>
    </row>
    <row r="6342" spans="3:3">
      <c r="C6342">
        <v>145767</v>
      </c>
    </row>
    <row r="6343" spans="3:3">
      <c r="C6343">
        <v>145790</v>
      </c>
    </row>
    <row r="6344" spans="3:3">
      <c r="C6344">
        <v>145813</v>
      </c>
    </row>
    <row r="6345" spans="3:3">
      <c r="C6345">
        <v>145837</v>
      </c>
    </row>
    <row r="6346" spans="3:3">
      <c r="C6346">
        <v>145860</v>
      </c>
    </row>
    <row r="6347" spans="3:3">
      <c r="C6347">
        <v>145883</v>
      </c>
    </row>
    <row r="6348" spans="3:3">
      <c r="C6348">
        <v>145906</v>
      </c>
    </row>
    <row r="6349" spans="3:3">
      <c r="C6349">
        <v>145929</v>
      </c>
    </row>
    <row r="6350" spans="3:3">
      <c r="C6350">
        <v>145952</v>
      </c>
    </row>
    <row r="6351" spans="3:3">
      <c r="C6351">
        <v>145975</v>
      </c>
    </row>
    <row r="6352" spans="3:3">
      <c r="C6352">
        <v>145998</v>
      </c>
    </row>
    <row r="6353" spans="3:3">
      <c r="C6353">
        <v>146021</v>
      </c>
    </row>
    <row r="6354" spans="3:3">
      <c r="C6354">
        <v>146044</v>
      </c>
    </row>
    <row r="6355" spans="3:3">
      <c r="C6355">
        <v>146067</v>
      </c>
    </row>
    <row r="6356" spans="3:3">
      <c r="C6356">
        <v>146090</v>
      </c>
    </row>
    <row r="6357" spans="3:3">
      <c r="C6357">
        <v>146113</v>
      </c>
    </row>
    <row r="6358" spans="3:3">
      <c r="C6358">
        <v>146137</v>
      </c>
    </row>
    <row r="6359" spans="3:3">
      <c r="C6359">
        <v>146160</v>
      </c>
    </row>
    <row r="6360" spans="3:3">
      <c r="C6360">
        <v>146183</v>
      </c>
    </row>
    <row r="6361" spans="3:3">
      <c r="C6361">
        <v>146206</v>
      </c>
    </row>
    <row r="6362" spans="3:3">
      <c r="C6362">
        <v>146229</v>
      </c>
    </row>
    <row r="6363" spans="3:3">
      <c r="C6363">
        <v>146252</v>
      </c>
    </row>
    <row r="6364" spans="3:3">
      <c r="C6364">
        <v>146275</v>
      </c>
    </row>
    <row r="6365" spans="3:3">
      <c r="C6365">
        <v>146298</v>
      </c>
    </row>
    <row r="6366" spans="3:3">
      <c r="C6366">
        <v>146321</v>
      </c>
    </row>
    <row r="6367" spans="3:3">
      <c r="C6367">
        <v>146344</v>
      </c>
    </row>
    <row r="6368" spans="3:3">
      <c r="C6368">
        <v>146367</v>
      </c>
    </row>
    <row r="6369" spans="3:3">
      <c r="C6369">
        <v>146390</v>
      </c>
    </row>
    <row r="6370" spans="3:3">
      <c r="C6370">
        <v>146413</v>
      </c>
    </row>
    <row r="6371" spans="3:3">
      <c r="C6371">
        <v>146437</v>
      </c>
    </row>
    <row r="6372" spans="3:3">
      <c r="C6372">
        <v>146460</v>
      </c>
    </row>
    <row r="6373" spans="3:3">
      <c r="C6373">
        <v>146483</v>
      </c>
    </row>
    <row r="6374" spans="3:3">
      <c r="C6374">
        <v>146506</v>
      </c>
    </row>
    <row r="6375" spans="3:3">
      <c r="C6375">
        <v>146529</v>
      </c>
    </row>
    <row r="6376" spans="3:3">
      <c r="C6376">
        <v>146552</v>
      </c>
    </row>
    <row r="6377" spans="3:3">
      <c r="C6377">
        <v>146575</v>
      </c>
    </row>
    <row r="6378" spans="3:3">
      <c r="C6378">
        <v>146598</v>
      </c>
    </row>
    <row r="6379" spans="3:3">
      <c r="C6379">
        <v>146621</v>
      </c>
    </row>
    <row r="6380" spans="3:3">
      <c r="C6380">
        <v>146644</v>
      </c>
    </row>
    <row r="6381" spans="3:3">
      <c r="C6381">
        <v>146667</v>
      </c>
    </row>
    <row r="6382" spans="3:3">
      <c r="C6382">
        <v>146690</v>
      </c>
    </row>
    <row r="6383" spans="3:3">
      <c r="C6383">
        <v>146713</v>
      </c>
    </row>
    <row r="6384" spans="3:3">
      <c r="C6384">
        <v>146737</v>
      </c>
    </row>
    <row r="6385" spans="3:3">
      <c r="C6385">
        <v>146760</v>
      </c>
    </row>
    <row r="6386" spans="3:3">
      <c r="C6386">
        <v>146783</v>
      </c>
    </row>
    <row r="6387" spans="3:3">
      <c r="C6387">
        <v>146806</v>
      </c>
    </row>
    <row r="6388" spans="3:3">
      <c r="C6388">
        <v>146829</v>
      </c>
    </row>
    <row r="6389" spans="3:3">
      <c r="C6389">
        <v>146852</v>
      </c>
    </row>
    <row r="6390" spans="3:3">
      <c r="C6390">
        <v>146875</v>
      </c>
    </row>
    <row r="6391" spans="3:3">
      <c r="C6391">
        <v>146898</v>
      </c>
    </row>
    <row r="6392" spans="3:3">
      <c r="C6392">
        <v>146921</v>
      </c>
    </row>
    <row r="6393" spans="3:3">
      <c r="C6393">
        <v>146944</v>
      </c>
    </row>
    <row r="6394" spans="3:3">
      <c r="C6394">
        <v>146967</v>
      </c>
    </row>
    <row r="6395" spans="3:3">
      <c r="C6395">
        <v>146990</v>
      </c>
    </row>
    <row r="6396" spans="3:3">
      <c r="C6396">
        <v>147013</v>
      </c>
    </row>
    <row r="6397" spans="3:3">
      <c r="C6397">
        <v>147037</v>
      </c>
    </row>
    <row r="6398" spans="3:3">
      <c r="C6398">
        <v>147060</v>
      </c>
    </row>
    <row r="6399" spans="3:3">
      <c r="C6399">
        <v>147083</v>
      </c>
    </row>
    <row r="6400" spans="3:3">
      <c r="C6400">
        <v>147106</v>
      </c>
    </row>
    <row r="6401" spans="3:3">
      <c r="C6401">
        <v>147129</v>
      </c>
    </row>
    <row r="6402" spans="3:3">
      <c r="C6402">
        <v>147152</v>
      </c>
    </row>
    <row r="6403" spans="3:3">
      <c r="C6403">
        <v>147175</v>
      </c>
    </row>
    <row r="6404" spans="3:3">
      <c r="C6404">
        <v>147198</v>
      </c>
    </row>
    <row r="6405" spans="3:3">
      <c r="C6405">
        <v>147221</v>
      </c>
    </row>
    <row r="6406" spans="3:3">
      <c r="C6406">
        <v>147244</v>
      </c>
    </row>
    <row r="6407" spans="3:3">
      <c r="C6407">
        <v>147267</v>
      </c>
    </row>
    <row r="6408" spans="3:3">
      <c r="C6408">
        <v>147290</v>
      </c>
    </row>
    <row r="6409" spans="3:3">
      <c r="C6409">
        <v>147313</v>
      </c>
    </row>
    <row r="6410" spans="3:3">
      <c r="C6410">
        <v>147337</v>
      </c>
    </row>
    <row r="6411" spans="3:3">
      <c r="C6411">
        <v>147360</v>
      </c>
    </row>
    <row r="6412" spans="3:3">
      <c r="C6412">
        <v>147383</v>
      </c>
    </row>
    <row r="6413" spans="3:3">
      <c r="C6413">
        <v>147406</v>
      </c>
    </row>
    <row r="6414" spans="3:3">
      <c r="C6414">
        <v>147429</v>
      </c>
    </row>
    <row r="6415" spans="3:3">
      <c r="C6415">
        <v>147452</v>
      </c>
    </row>
    <row r="6416" spans="3:3">
      <c r="C6416">
        <v>147475</v>
      </c>
    </row>
    <row r="6417" spans="3:3">
      <c r="C6417">
        <v>147498</v>
      </c>
    </row>
    <row r="6418" spans="3:3">
      <c r="C6418">
        <v>147521</v>
      </c>
    </row>
    <row r="6419" spans="3:3">
      <c r="C6419">
        <v>147544</v>
      </c>
    </row>
    <row r="6420" spans="3:3">
      <c r="C6420">
        <v>147567</v>
      </c>
    </row>
    <row r="6421" spans="3:3">
      <c r="C6421">
        <v>147590</v>
      </c>
    </row>
    <row r="6422" spans="3:3">
      <c r="C6422">
        <v>147613</v>
      </c>
    </row>
    <row r="6423" spans="3:3">
      <c r="C6423">
        <v>147637</v>
      </c>
    </row>
    <row r="6424" spans="3:3">
      <c r="C6424">
        <v>147660</v>
      </c>
    </row>
    <row r="6425" spans="3:3">
      <c r="C6425">
        <v>147683</v>
      </c>
    </row>
    <row r="6426" spans="3:3">
      <c r="C6426">
        <v>147706</v>
      </c>
    </row>
    <row r="6427" spans="3:3">
      <c r="C6427">
        <v>147729</v>
      </c>
    </row>
    <row r="6428" spans="3:3">
      <c r="C6428">
        <v>147752</v>
      </c>
    </row>
    <row r="6429" spans="3:3">
      <c r="C6429">
        <v>147775</v>
      </c>
    </row>
    <row r="6430" spans="3:3">
      <c r="C6430">
        <v>147798</v>
      </c>
    </row>
    <row r="6431" spans="3:3">
      <c r="C6431">
        <v>147821</v>
      </c>
    </row>
    <row r="6432" spans="3:3">
      <c r="C6432">
        <v>147844</v>
      </c>
    </row>
    <row r="6433" spans="3:3">
      <c r="C6433">
        <v>147867</v>
      </c>
    </row>
    <row r="6434" spans="3:3">
      <c r="C6434">
        <v>147890</v>
      </c>
    </row>
    <row r="6435" spans="3:3">
      <c r="C6435">
        <v>147913</v>
      </c>
    </row>
    <row r="6436" spans="3:3">
      <c r="C6436">
        <v>147937</v>
      </c>
    </row>
    <row r="6437" spans="3:3">
      <c r="C6437">
        <v>147960</v>
      </c>
    </row>
    <row r="6438" spans="3:3">
      <c r="C6438">
        <v>147983</v>
      </c>
    </row>
    <row r="6439" spans="3:3">
      <c r="C6439">
        <v>148006</v>
      </c>
    </row>
    <row r="6440" spans="3:3">
      <c r="C6440">
        <v>148029</v>
      </c>
    </row>
    <row r="6441" spans="3:3">
      <c r="C6441">
        <v>148052</v>
      </c>
    </row>
    <row r="6442" spans="3:3">
      <c r="C6442">
        <v>148075</v>
      </c>
    </row>
    <row r="6443" spans="3:3">
      <c r="C6443">
        <v>148098</v>
      </c>
    </row>
    <row r="6444" spans="3:3">
      <c r="C6444">
        <v>148121</v>
      </c>
    </row>
    <row r="6445" spans="3:3">
      <c r="C6445">
        <v>148144</v>
      </c>
    </row>
    <row r="6446" spans="3:3">
      <c r="C6446">
        <v>148167</v>
      </c>
    </row>
    <row r="6447" spans="3:3">
      <c r="C6447">
        <v>148190</v>
      </c>
    </row>
    <row r="6448" spans="3:3">
      <c r="C6448">
        <v>148213</v>
      </c>
    </row>
    <row r="6449" spans="3:3">
      <c r="C6449">
        <v>148237</v>
      </c>
    </row>
    <row r="6450" spans="3:3">
      <c r="C6450">
        <v>148260</v>
      </c>
    </row>
    <row r="6451" spans="3:3">
      <c r="C6451">
        <v>148283</v>
      </c>
    </row>
    <row r="6452" spans="3:3">
      <c r="C6452">
        <v>148306</v>
      </c>
    </row>
    <row r="6453" spans="3:3">
      <c r="C6453">
        <v>148329</v>
      </c>
    </row>
    <row r="6454" spans="3:3">
      <c r="C6454">
        <v>148352</v>
      </c>
    </row>
    <row r="6455" spans="3:3">
      <c r="C6455">
        <v>148375</v>
      </c>
    </row>
    <row r="6456" spans="3:3">
      <c r="C6456">
        <v>148398</v>
      </c>
    </row>
    <row r="6457" spans="3:3">
      <c r="C6457">
        <v>148421</v>
      </c>
    </row>
    <row r="6458" spans="3:3">
      <c r="C6458">
        <v>148444</v>
      </c>
    </row>
    <row r="6459" spans="3:3">
      <c r="C6459">
        <v>148467</v>
      </c>
    </row>
    <row r="6460" spans="3:3">
      <c r="C6460">
        <v>148490</v>
      </c>
    </row>
    <row r="6461" spans="3:3">
      <c r="C6461">
        <v>148513</v>
      </c>
    </row>
    <row r="6462" spans="3:3">
      <c r="C6462">
        <v>148537</v>
      </c>
    </row>
    <row r="6463" spans="3:3">
      <c r="C6463">
        <v>148560</v>
      </c>
    </row>
    <row r="6464" spans="3:3">
      <c r="C6464">
        <v>148583</v>
      </c>
    </row>
    <row r="6465" spans="3:3">
      <c r="C6465">
        <v>148606</v>
      </c>
    </row>
    <row r="6466" spans="3:3">
      <c r="C6466">
        <v>148629</v>
      </c>
    </row>
    <row r="6467" spans="3:3">
      <c r="C6467">
        <v>148652</v>
      </c>
    </row>
    <row r="6468" spans="3:3">
      <c r="C6468">
        <v>148675</v>
      </c>
    </row>
    <row r="6469" spans="3:3">
      <c r="C6469">
        <v>148698</v>
      </c>
    </row>
    <row r="6470" spans="3:3">
      <c r="C6470">
        <v>148721</v>
      </c>
    </row>
    <row r="6471" spans="3:3">
      <c r="C6471">
        <v>148744</v>
      </c>
    </row>
    <row r="6472" spans="3:3">
      <c r="C6472">
        <v>148767</v>
      </c>
    </row>
    <row r="6473" spans="3:3">
      <c r="C6473">
        <v>148790</v>
      </c>
    </row>
    <row r="6474" spans="3:3">
      <c r="C6474">
        <v>148813</v>
      </c>
    </row>
    <row r="6475" spans="3:3">
      <c r="C6475">
        <v>148837</v>
      </c>
    </row>
    <row r="6476" spans="3:3">
      <c r="C6476">
        <v>148860</v>
      </c>
    </row>
    <row r="6477" spans="3:3">
      <c r="C6477">
        <v>148883</v>
      </c>
    </row>
    <row r="6478" spans="3:3">
      <c r="C6478">
        <v>148906</v>
      </c>
    </row>
    <row r="6479" spans="3:3">
      <c r="C6479">
        <v>148929</v>
      </c>
    </row>
    <row r="6480" spans="3:3">
      <c r="C6480">
        <v>148952</v>
      </c>
    </row>
    <row r="6481" spans="3:3">
      <c r="C6481">
        <v>148975</v>
      </c>
    </row>
    <row r="6482" spans="3:3">
      <c r="C6482">
        <v>148998</v>
      </c>
    </row>
    <row r="6483" spans="3:3">
      <c r="C6483">
        <v>149021</v>
      </c>
    </row>
    <row r="6484" spans="3:3">
      <c r="C6484">
        <v>149044</v>
      </c>
    </row>
    <row r="6485" spans="3:3">
      <c r="C6485">
        <v>149067</v>
      </c>
    </row>
    <row r="6486" spans="3:3">
      <c r="C6486">
        <v>149090</v>
      </c>
    </row>
    <row r="6487" spans="3:3">
      <c r="C6487">
        <v>149113</v>
      </c>
    </row>
    <row r="6488" spans="3:3">
      <c r="C6488">
        <v>149137</v>
      </c>
    </row>
    <row r="6489" spans="3:3">
      <c r="C6489">
        <v>149160</v>
      </c>
    </row>
    <row r="6490" spans="3:3">
      <c r="C6490">
        <v>149183</v>
      </c>
    </row>
    <row r="6491" spans="3:3">
      <c r="C6491">
        <v>149206</v>
      </c>
    </row>
    <row r="6492" spans="3:3">
      <c r="C6492">
        <v>149229</v>
      </c>
    </row>
    <row r="6493" spans="3:3">
      <c r="C6493">
        <v>149252</v>
      </c>
    </row>
    <row r="6494" spans="3:3">
      <c r="C6494">
        <v>149275</v>
      </c>
    </row>
    <row r="6495" spans="3:3">
      <c r="C6495">
        <v>149298</v>
      </c>
    </row>
    <row r="6496" spans="3:3">
      <c r="C6496">
        <v>149321</v>
      </c>
    </row>
    <row r="6497" spans="3:3">
      <c r="C6497">
        <v>149344</v>
      </c>
    </row>
    <row r="6498" spans="3:3">
      <c r="C6498">
        <v>149367</v>
      </c>
    </row>
    <row r="6499" spans="3:3">
      <c r="C6499">
        <v>149390</v>
      </c>
    </row>
    <row r="6500" spans="3:3">
      <c r="C6500">
        <v>149413</v>
      </c>
    </row>
    <row r="6501" spans="3:3">
      <c r="C6501">
        <v>149437</v>
      </c>
    </row>
    <row r="6502" spans="3:3">
      <c r="C6502">
        <v>149460</v>
      </c>
    </row>
    <row r="6503" spans="3:3">
      <c r="C6503">
        <v>149483</v>
      </c>
    </row>
    <row r="6504" spans="3:3">
      <c r="C6504">
        <v>149506</v>
      </c>
    </row>
    <row r="6505" spans="3:3">
      <c r="C6505">
        <v>149529</v>
      </c>
    </row>
    <row r="6506" spans="3:3">
      <c r="C6506">
        <v>149552</v>
      </c>
    </row>
    <row r="6507" spans="3:3">
      <c r="C6507">
        <v>149575</v>
      </c>
    </row>
    <row r="6508" spans="3:3">
      <c r="C6508">
        <v>149598</v>
      </c>
    </row>
    <row r="6509" spans="3:3">
      <c r="C6509">
        <v>149621</v>
      </c>
    </row>
    <row r="6510" spans="3:3">
      <c r="C6510">
        <v>149644</v>
      </c>
    </row>
    <row r="6511" spans="3:3">
      <c r="C6511">
        <v>149667</v>
      </c>
    </row>
    <row r="6512" spans="3:3">
      <c r="C6512">
        <v>149690</v>
      </c>
    </row>
    <row r="6513" spans="3:3">
      <c r="C6513">
        <v>149713</v>
      </c>
    </row>
    <row r="6514" spans="3:3">
      <c r="C6514">
        <v>149737</v>
      </c>
    </row>
    <row r="6515" spans="3:3">
      <c r="C6515">
        <v>149760</v>
      </c>
    </row>
    <row r="6516" spans="3:3">
      <c r="C6516">
        <v>149783</v>
      </c>
    </row>
    <row r="6517" spans="3:3">
      <c r="C6517">
        <v>149806</v>
      </c>
    </row>
    <row r="6518" spans="3:3">
      <c r="C6518">
        <v>149829</v>
      </c>
    </row>
    <row r="6519" spans="3:3">
      <c r="C6519">
        <v>149852</v>
      </c>
    </row>
    <row r="6520" spans="3:3">
      <c r="C6520">
        <v>149875</v>
      </c>
    </row>
    <row r="6521" spans="3:3">
      <c r="C6521">
        <v>149898</v>
      </c>
    </row>
    <row r="6522" spans="3:3">
      <c r="C6522">
        <v>149921</v>
      </c>
    </row>
    <row r="6523" spans="3:3">
      <c r="C6523">
        <v>149944</v>
      </c>
    </row>
    <row r="6524" spans="3:3">
      <c r="C6524">
        <v>149967</v>
      </c>
    </row>
    <row r="6525" spans="3:3">
      <c r="C6525">
        <v>149990</v>
      </c>
    </row>
    <row r="6526" spans="3:3">
      <c r="C6526">
        <v>150013</v>
      </c>
    </row>
    <row r="6527" spans="3:3">
      <c r="C6527">
        <v>150037</v>
      </c>
    </row>
    <row r="6528" spans="3:3">
      <c r="C6528">
        <v>150060</v>
      </c>
    </row>
    <row r="6529" spans="3:3">
      <c r="C6529">
        <v>150083</v>
      </c>
    </row>
    <row r="6530" spans="3:3">
      <c r="C6530">
        <v>150106</v>
      </c>
    </row>
    <row r="6531" spans="3:3">
      <c r="C6531">
        <v>150129</v>
      </c>
    </row>
    <row r="6532" spans="3:3">
      <c r="C6532">
        <v>150152</v>
      </c>
    </row>
    <row r="6533" spans="3:3">
      <c r="C6533">
        <v>150175</v>
      </c>
    </row>
    <row r="6534" spans="3:3">
      <c r="C6534">
        <v>150198</v>
      </c>
    </row>
    <row r="6535" spans="3:3">
      <c r="C6535">
        <v>150221</v>
      </c>
    </row>
    <row r="6536" spans="3:3">
      <c r="C6536">
        <v>150244</v>
      </c>
    </row>
    <row r="6537" spans="3:3">
      <c r="C6537">
        <v>150267</v>
      </c>
    </row>
    <row r="6538" spans="3:3">
      <c r="C6538">
        <v>150290</v>
      </c>
    </row>
    <row r="6539" spans="3:3">
      <c r="C6539">
        <v>150313</v>
      </c>
    </row>
    <row r="6540" spans="3:3">
      <c r="C6540">
        <v>150337</v>
      </c>
    </row>
    <row r="6541" spans="3:3">
      <c r="C6541">
        <v>150360</v>
      </c>
    </row>
    <row r="6542" spans="3:3">
      <c r="C6542">
        <v>150383</v>
      </c>
    </row>
    <row r="6543" spans="3:3">
      <c r="C6543">
        <v>150406</v>
      </c>
    </row>
    <row r="6544" spans="3:3">
      <c r="C6544">
        <v>150429</v>
      </c>
    </row>
    <row r="6545" spans="3:3">
      <c r="C6545">
        <v>150452</v>
      </c>
    </row>
    <row r="6546" spans="3:3">
      <c r="C6546">
        <v>150475</v>
      </c>
    </row>
    <row r="6547" spans="3:3">
      <c r="C6547">
        <v>150498</v>
      </c>
    </row>
    <row r="6548" spans="3:3">
      <c r="C6548">
        <v>150521</v>
      </c>
    </row>
    <row r="6549" spans="3:3">
      <c r="C6549">
        <v>150544</v>
      </c>
    </row>
    <row r="6550" spans="3:3">
      <c r="C6550">
        <v>150567</v>
      </c>
    </row>
    <row r="6551" spans="3:3">
      <c r="C6551">
        <v>150590</v>
      </c>
    </row>
    <row r="6552" spans="3:3">
      <c r="C6552">
        <v>150613</v>
      </c>
    </row>
    <row r="6553" spans="3:3">
      <c r="C6553">
        <v>150637</v>
      </c>
    </row>
    <row r="6554" spans="3:3">
      <c r="C6554">
        <v>150660</v>
      </c>
    </row>
    <row r="6555" spans="3:3">
      <c r="C6555">
        <v>150683</v>
      </c>
    </row>
    <row r="6556" spans="3:3">
      <c r="C6556">
        <v>150706</v>
      </c>
    </row>
    <row r="6557" spans="3:3">
      <c r="C6557">
        <v>150729</v>
      </c>
    </row>
    <row r="6558" spans="3:3">
      <c r="C6558">
        <v>150752</v>
      </c>
    </row>
    <row r="6559" spans="3:3">
      <c r="C6559">
        <v>150775</v>
      </c>
    </row>
    <row r="6560" spans="3:3">
      <c r="C6560">
        <v>150798</v>
      </c>
    </row>
    <row r="6561" spans="3:3">
      <c r="C6561">
        <v>150821</v>
      </c>
    </row>
    <row r="6562" spans="3:3">
      <c r="C6562">
        <v>150844</v>
      </c>
    </row>
    <row r="6563" spans="3:3">
      <c r="C6563">
        <v>150867</v>
      </c>
    </row>
    <row r="6564" spans="3:3">
      <c r="C6564">
        <v>150890</v>
      </c>
    </row>
    <row r="6565" spans="3:3">
      <c r="C6565">
        <v>150913</v>
      </c>
    </row>
    <row r="6566" spans="3:3">
      <c r="C6566">
        <v>150937</v>
      </c>
    </row>
    <row r="6567" spans="3:3">
      <c r="C6567">
        <v>150960</v>
      </c>
    </row>
    <row r="6568" spans="3:3">
      <c r="C6568">
        <v>150983</v>
      </c>
    </row>
    <row r="6569" spans="3:3">
      <c r="C6569">
        <v>151006</v>
      </c>
    </row>
    <row r="6570" spans="3:3">
      <c r="C6570">
        <v>151029</v>
      </c>
    </row>
    <row r="6571" spans="3:3">
      <c r="C6571">
        <v>151052</v>
      </c>
    </row>
    <row r="6572" spans="3:3">
      <c r="C6572">
        <v>151075</v>
      </c>
    </row>
    <row r="6573" spans="3:3">
      <c r="C6573">
        <v>151098</v>
      </c>
    </row>
    <row r="6574" spans="3:3">
      <c r="C6574">
        <v>151121</v>
      </c>
    </row>
    <row r="6575" spans="3:3">
      <c r="C6575">
        <v>151144</v>
      </c>
    </row>
    <row r="6576" spans="3:3">
      <c r="C6576">
        <v>151167</v>
      </c>
    </row>
    <row r="6577" spans="3:3">
      <c r="C6577">
        <v>151190</v>
      </c>
    </row>
    <row r="6578" spans="3:3">
      <c r="C6578">
        <v>151213</v>
      </c>
    </row>
    <row r="6579" spans="3:3">
      <c r="C6579">
        <v>151237</v>
      </c>
    </row>
    <row r="6580" spans="3:3">
      <c r="C6580">
        <v>151260</v>
      </c>
    </row>
    <row r="6581" spans="3:3">
      <c r="C6581">
        <v>151283</v>
      </c>
    </row>
    <row r="6582" spans="3:3">
      <c r="C6582">
        <v>151306</v>
      </c>
    </row>
    <row r="6583" spans="3:3">
      <c r="C6583">
        <v>151329</v>
      </c>
    </row>
    <row r="6584" spans="3:3">
      <c r="C6584">
        <v>151352</v>
      </c>
    </row>
    <row r="6585" spans="3:3">
      <c r="C6585">
        <v>151375</v>
      </c>
    </row>
    <row r="6586" spans="3:3">
      <c r="C6586">
        <v>151398</v>
      </c>
    </row>
    <row r="6587" spans="3:3">
      <c r="C6587">
        <v>151421</v>
      </c>
    </row>
    <row r="6588" spans="3:3">
      <c r="C6588">
        <v>151444</v>
      </c>
    </row>
    <row r="6589" spans="3:3">
      <c r="C6589">
        <v>151467</v>
      </c>
    </row>
    <row r="6590" spans="3:3">
      <c r="C6590">
        <v>151490</v>
      </c>
    </row>
    <row r="6591" spans="3:3">
      <c r="C6591">
        <v>151513</v>
      </c>
    </row>
    <row r="6592" spans="3:3">
      <c r="C6592">
        <v>151537</v>
      </c>
    </row>
    <row r="6593" spans="3:3">
      <c r="C6593">
        <v>151560</v>
      </c>
    </row>
    <row r="6594" spans="3:3">
      <c r="C6594">
        <v>151583</v>
      </c>
    </row>
    <row r="6595" spans="3:3">
      <c r="C6595">
        <v>151606</v>
      </c>
    </row>
    <row r="6596" spans="3:3">
      <c r="C6596">
        <v>151629</v>
      </c>
    </row>
    <row r="6597" spans="3:3">
      <c r="C6597">
        <v>151652</v>
      </c>
    </row>
    <row r="6598" spans="3:3">
      <c r="C6598">
        <v>151675</v>
      </c>
    </row>
    <row r="6599" spans="3:3">
      <c r="C6599">
        <v>151698</v>
      </c>
    </row>
    <row r="6600" spans="3:3">
      <c r="C6600">
        <v>151721</v>
      </c>
    </row>
    <row r="6601" spans="3:3">
      <c r="C6601">
        <v>151744</v>
      </c>
    </row>
    <row r="6602" spans="3:3">
      <c r="C6602">
        <v>151767</v>
      </c>
    </row>
    <row r="6603" spans="3:3">
      <c r="C6603">
        <v>151790</v>
      </c>
    </row>
    <row r="6604" spans="3:3">
      <c r="C6604">
        <v>151813</v>
      </c>
    </row>
    <row r="6605" spans="3:3">
      <c r="C6605">
        <v>151837</v>
      </c>
    </row>
    <row r="6606" spans="3:3">
      <c r="C6606">
        <v>151860</v>
      </c>
    </row>
    <row r="6607" spans="3:3">
      <c r="C6607">
        <v>151883</v>
      </c>
    </row>
    <row r="6608" spans="3:3">
      <c r="C6608">
        <v>151906</v>
      </c>
    </row>
    <row r="6609" spans="3:3">
      <c r="C6609">
        <v>151929</v>
      </c>
    </row>
    <row r="6610" spans="3:3">
      <c r="C6610">
        <v>151952</v>
      </c>
    </row>
    <row r="6611" spans="3:3">
      <c r="C6611">
        <v>151975</v>
      </c>
    </row>
    <row r="6612" spans="3:3">
      <c r="C6612">
        <v>151998</v>
      </c>
    </row>
    <row r="6613" spans="3:3">
      <c r="C6613">
        <v>152021</v>
      </c>
    </row>
    <row r="6614" spans="3:3">
      <c r="C6614">
        <v>152044</v>
      </c>
    </row>
    <row r="6615" spans="3:3">
      <c r="C6615">
        <v>152067</v>
      </c>
    </row>
    <row r="6616" spans="3:3">
      <c r="C6616">
        <v>152090</v>
      </c>
    </row>
    <row r="6617" spans="3:3">
      <c r="C6617">
        <v>152113</v>
      </c>
    </row>
    <row r="6618" spans="3:3">
      <c r="C6618">
        <v>152137</v>
      </c>
    </row>
    <row r="6619" spans="3:3">
      <c r="C6619">
        <v>152160</v>
      </c>
    </row>
    <row r="6620" spans="3:3">
      <c r="C6620">
        <v>152183</v>
      </c>
    </row>
    <row r="6621" spans="3:3">
      <c r="C6621">
        <v>152206</v>
      </c>
    </row>
    <row r="6622" spans="3:3">
      <c r="C6622">
        <v>152229</v>
      </c>
    </row>
    <row r="6623" spans="3:3">
      <c r="C6623">
        <v>152252</v>
      </c>
    </row>
    <row r="6624" spans="3:3">
      <c r="C6624">
        <v>152275</v>
      </c>
    </row>
    <row r="6625" spans="3:3">
      <c r="C6625">
        <v>152298</v>
      </c>
    </row>
    <row r="6626" spans="3:3">
      <c r="C6626">
        <v>152321</v>
      </c>
    </row>
    <row r="6627" spans="3:3">
      <c r="C6627">
        <v>152344</v>
      </c>
    </row>
    <row r="6628" spans="3:3">
      <c r="C6628">
        <v>152367</v>
      </c>
    </row>
    <row r="6629" spans="3:3">
      <c r="C6629">
        <v>152390</v>
      </c>
    </row>
    <row r="6630" spans="3:3">
      <c r="C6630">
        <v>152413</v>
      </c>
    </row>
    <row r="6631" spans="3:3">
      <c r="C6631">
        <v>152437</v>
      </c>
    </row>
    <row r="6632" spans="3:3">
      <c r="C6632">
        <v>152460</v>
      </c>
    </row>
    <row r="6633" spans="3:3">
      <c r="C6633">
        <v>152483</v>
      </c>
    </row>
    <row r="6634" spans="3:3">
      <c r="C6634">
        <v>152506</v>
      </c>
    </row>
    <row r="6635" spans="3:3">
      <c r="C6635">
        <v>152529</v>
      </c>
    </row>
    <row r="6636" spans="3:3">
      <c r="C6636">
        <v>152552</v>
      </c>
    </row>
    <row r="6637" spans="3:3">
      <c r="C6637">
        <v>152575</v>
      </c>
    </row>
    <row r="6638" spans="3:3">
      <c r="C6638">
        <v>152598</v>
      </c>
    </row>
    <row r="6639" spans="3:3">
      <c r="C6639">
        <v>152621</v>
      </c>
    </row>
    <row r="6640" spans="3:3">
      <c r="C6640">
        <v>152644</v>
      </c>
    </row>
    <row r="6641" spans="3:3">
      <c r="C6641">
        <v>152667</v>
      </c>
    </row>
    <row r="6642" spans="3:3">
      <c r="C6642">
        <v>152690</v>
      </c>
    </row>
    <row r="6643" spans="3:3">
      <c r="C6643">
        <v>152713</v>
      </c>
    </row>
    <row r="6644" spans="3:3">
      <c r="C6644">
        <v>152737</v>
      </c>
    </row>
    <row r="6645" spans="3:3">
      <c r="C6645">
        <v>152760</v>
      </c>
    </row>
    <row r="6646" spans="3:3">
      <c r="C6646">
        <v>152783</v>
      </c>
    </row>
    <row r="6647" spans="3:3">
      <c r="C6647">
        <v>152806</v>
      </c>
    </row>
    <row r="6648" spans="3:3">
      <c r="C6648">
        <v>152829</v>
      </c>
    </row>
    <row r="6649" spans="3:3">
      <c r="C6649">
        <v>152852</v>
      </c>
    </row>
    <row r="6650" spans="3:3">
      <c r="C6650">
        <v>152875</v>
      </c>
    </row>
    <row r="6651" spans="3:3">
      <c r="C6651">
        <v>152898</v>
      </c>
    </row>
    <row r="6652" spans="3:3">
      <c r="C6652">
        <v>152921</v>
      </c>
    </row>
    <row r="6653" spans="3:3">
      <c r="C6653">
        <v>152944</v>
      </c>
    </row>
    <row r="6654" spans="3:3">
      <c r="C6654">
        <v>152967</v>
      </c>
    </row>
    <row r="6655" spans="3:3">
      <c r="C6655">
        <v>152990</v>
      </c>
    </row>
    <row r="6656" spans="3:3">
      <c r="C6656">
        <v>153013</v>
      </c>
    </row>
    <row r="6657" spans="3:3">
      <c r="C6657">
        <v>153037</v>
      </c>
    </row>
    <row r="6658" spans="3:3">
      <c r="C6658">
        <v>153060</v>
      </c>
    </row>
    <row r="6659" spans="3:3">
      <c r="C6659">
        <v>153083</v>
      </c>
    </row>
    <row r="6660" spans="3:3">
      <c r="C6660">
        <v>153106</v>
      </c>
    </row>
    <row r="6661" spans="3:3">
      <c r="C6661">
        <v>153129</v>
      </c>
    </row>
    <row r="6662" spans="3:3">
      <c r="C6662">
        <v>153152</v>
      </c>
    </row>
    <row r="6663" spans="3:3">
      <c r="C6663">
        <v>153175</v>
      </c>
    </row>
    <row r="6664" spans="3:3">
      <c r="C6664">
        <v>153198</v>
      </c>
    </row>
    <row r="6665" spans="3:3">
      <c r="C6665">
        <v>153221</v>
      </c>
    </row>
    <row r="6666" spans="3:3">
      <c r="C6666">
        <v>153244</v>
      </c>
    </row>
    <row r="6667" spans="3:3">
      <c r="C6667">
        <v>153267</v>
      </c>
    </row>
    <row r="6668" spans="3:3">
      <c r="C6668">
        <v>153290</v>
      </c>
    </row>
    <row r="6669" spans="3:3">
      <c r="C6669">
        <v>153313</v>
      </c>
    </row>
    <row r="6670" spans="3:3">
      <c r="C6670">
        <v>153337</v>
      </c>
    </row>
    <row r="6671" spans="3:3">
      <c r="C6671">
        <v>153360</v>
      </c>
    </row>
    <row r="6672" spans="3:3">
      <c r="C6672">
        <v>153383</v>
      </c>
    </row>
    <row r="6673" spans="3:3">
      <c r="C6673">
        <v>153406</v>
      </c>
    </row>
    <row r="6674" spans="3:3">
      <c r="C6674">
        <v>153429</v>
      </c>
    </row>
    <row r="6675" spans="3:3">
      <c r="C6675">
        <v>153452</v>
      </c>
    </row>
    <row r="6676" spans="3:3">
      <c r="C6676">
        <v>153475</v>
      </c>
    </row>
    <row r="6677" spans="3:3">
      <c r="C6677">
        <v>153498</v>
      </c>
    </row>
    <row r="6678" spans="3:3">
      <c r="C6678">
        <v>153521</v>
      </c>
    </row>
    <row r="6679" spans="3:3">
      <c r="C6679">
        <v>153544</v>
      </c>
    </row>
    <row r="6680" spans="3:3">
      <c r="C6680">
        <v>153567</v>
      </c>
    </row>
    <row r="6681" spans="3:3">
      <c r="C6681">
        <v>153590</v>
      </c>
    </row>
    <row r="6682" spans="3:3">
      <c r="C6682">
        <v>153613</v>
      </c>
    </row>
    <row r="6683" spans="3:3">
      <c r="C6683">
        <v>153637</v>
      </c>
    </row>
    <row r="6684" spans="3:3">
      <c r="C6684">
        <v>153660</v>
      </c>
    </row>
    <row r="6685" spans="3:3">
      <c r="C6685">
        <v>153683</v>
      </c>
    </row>
    <row r="6686" spans="3:3">
      <c r="C6686">
        <v>153706</v>
      </c>
    </row>
    <row r="6687" spans="3:3">
      <c r="C6687">
        <v>153729</v>
      </c>
    </row>
    <row r="6688" spans="3:3">
      <c r="C6688">
        <v>153752</v>
      </c>
    </row>
    <row r="6689" spans="3:3">
      <c r="C6689">
        <v>153775</v>
      </c>
    </row>
    <row r="6690" spans="3:3">
      <c r="C6690">
        <v>153798</v>
      </c>
    </row>
    <row r="6691" spans="3:3">
      <c r="C6691">
        <v>153821</v>
      </c>
    </row>
    <row r="6692" spans="3:3">
      <c r="C6692">
        <v>153844</v>
      </c>
    </row>
    <row r="6693" spans="3:3">
      <c r="C6693">
        <v>153867</v>
      </c>
    </row>
    <row r="6694" spans="3:3">
      <c r="C6694">
        <v>153890</v>
      </c>
    </row>
    <row r="6695" spans="3:3">
      <c r="C6695">
        <v>153913</v>
      </c>
    </row>
    <row r="6696" spans="3:3">
      <c r="C6696">
        <v>153937</v>
      </c>
    </row>
    <row r="6697" spans="3:3">
      <c r="C6697">
        <v>153960</v>
      </c>
    </row>
    <row r="6698" spans="3:3">
      <c r="C6698">
        <v>153983</v>
      </c>
    </row>
    <row r="6699" spans="3:3">
      <c r="C6699">
        <v>154006</v>
      </c>
    </row>
    <row r="6700" spans="3:3">
      <c r="C6700">
        <v>154029</v>
      </c>
    </row>
    <row r="6701" spans="3:3">
      <c r="C6701">
        <v>154052</v>
      </c>
    </row>
    <row r="6702" spans="3:3">
      <c r="C6702">
        <v>154075</v>
      </c>
    </row>
    <row r="6703" spans="3:3">
      <c r="C6703">
        <v>154098</v>
      </c>
    </row>
    <row r="6704" spans="3:3">
      <c r="C6704">
        <v>154121</v>
      </c>
    </row>
    <row r="6705" spans="3:3">
      <c r="C6705">
        <v>154144</v>
      </c>
    </row>
    <row r="6706" spans="3:3">
      <c r="C6706">
        <v>154167</v>
      </c>
    </row>
    <row r="6707" spans="3:3">
      <c r="C6707">
        <v>154190</v>
      </c>
    </row>
    <row r="6708" spans="3:3">
      <c r="C6708">
        <v>154213</v>
      </c>
    </row>
    <row r="6709" spans="3:3">
      <c r="C6709">
        <v>154237</v>
      </c>
    </row>
    <row r="6710" spans="3:3">
      <c r="C6710">
        <v>154260</v>
      </c>
    </row>
    <row r="6711" spans="3:3">
      <c r="C6711">
        <v>154283</v>
      </c>
    </row>
    <row r="6712" spans="3:3">
      <c r="C6712">
        <v>154306</v>
      </c>
    </row>
    <row r="6713" spans="3:3">
      <c r="C6713">
        <v>154329</v>
      </c>
    </row>
    <row r="6714" spans="3:3">
      <c r="C6714">
        <v>154352</v>
      </c>
    </row>
    <row r="6715" spans="3:3">
      <c r="C6715">
        <v>154375</v>
      </c>
    </row>
    <row r="6716" spans="3:3">
      <c r="C6716">
        <v>154398</v>
      </c>
    </row>
    <row r="6717" spans="3:3">
      <c r="C6717">
        <v>154421</v>
      </c>
    </row>
    <row r="6718" spans="3:3">
      <c r="C6718">
        <v>154444</v>
      </c>
    </row>
    <row r="6719" spans="3:3">
      <c r="C6719">
        <v>154467</v>
      </c>
    </row>
    <row r="6720" spans="3:3">
      <c r="C6720">
        <v>154490</v>
      </c>
    </row>
    <row r="6721" spans="3:3">
      <c r="C6721">
        <v>154513</v>
      </c>
    </row>
    <row r="6722" spans="3:3">
      <c r="C6722">
        <v>154537</v>
      </c>
    </row>
    <row r="6723" spans="3:3">
      <c r="C6723">
        <v>154560</v>
      </c>
    </row>
    <row r="6724" spans="3:3">
      <c r="C6724">
        <v>154583</v>
      </c>
    </row>
    <row r="6725" spans="3:3">
      <c r="C6725">
        <v>154606</v>
      </c>
    </row>
    <row r="6726" spans="3:3">
      <c r="C6726">
        <v>154629</v>
      </c>
    </row>
    <row r="6727" spans="3:3">
      <c r="C6727">
        <v>154652</v>
      </c>
    </row>
    <row r="6728" spans="3:3">
      <c r="C6728">
        <v>154675</v>
      </c>
    </row>
    <row r="6729" spans="3:3">
      <c r="C6729">
        <v>154698</v>
      </c>
    </row>
    <row r="6730" spans="3:3">
      <c r="C6730">
        <v>154721</v>
      </c>
    </row>
    <row r="6731" spans="3:3">
      <c r="C6731">
        <v>154744</v>
      </c>
    </row>
    <row r="6732" spans="3:3">
      <c r="C6732">
        <v>154767</v>
      </c>
    </row>
    <row r="6733" spans="3:3">
      <c r="C6733">
        <v>154790</v>
      </c>
    </row>
    <row r="6734" spans="3:3">
      <c r="C6734">
        <v>154813</v>
      </c>
    </row>
    <row r="6735" spans="3:3">
      <c r="C6735">
        <v>154837</v>
      </c>
    </row>
    <row r="6736" spans="3:3">
      <c r="C6736">
        <v>154860</v>
      </c>
    </row>
    <row r="6737" spans="3:3">
      <c r="C6737">
        <v>154883</v>
      </c>
    </row>
    <row r="6738" spans="3:3">
      <c r="C6738">
        <v>154906</v>
      </c>
    </row>
    <row r="6739" spans="3:3">
      <c r="C6739">
        <v>154929</v>
      </c>
    </row>
    <row r="6740" spans="3:3">
      <c r="C6740">
        <v>154952</v>
      </c>
    </row>
    <row r="6741" spans="3:3">
      <c r="C6741">
        <v>154975</v>
      </c>
    </row>
    <row r="6742" spans="3:3">
      <c r="C6742">
        <v>154998</v>
      </c>
    </row>
    <row r="6743" spans="3:3">
      <c r="C6743">
        <v>155021</v>
      </c>
    </row>
    <row r="6744" spans="3:3">
      <c r="C6744">
        <v>155044</v>
      </c>
    </row>
    <row r="6745" spans="3:3">
      <c r="C6745">
        <v>155067</v>
      </c>
    </row>
    <row r="6746" spans="3:3">
      <c r="C6746">
        <v>155090</v>
      </c>
    </row>
    <row r="6747" spans="3:3">
      <c r="C6747">
        <v>155113</v>
      </c>
    </row>
    <row r="6748" spans="3:3">
      <c r="C6748">
        <v>155137</v>
      </c>
    </row>
    <row r="6749" spans="3:3">
      <c r="C6749">
        <v>155160</v>
      </c>
    </row>
    <row r="6750" spans="3:3">
      <c r="C6750">
        <v>155183</v>
      </c>
    </row>
    <row r="6751" spans="3:3">
      <c r="C6751">
        <v>155206</v>
      </c>
    </row>
    <row r="6752" spans="3:3">
      <c r="C6752">
        <v>155229</v>
      </c>
    </row>
    <row r="6753" spans="3:3">
      <c r="C6753">
        <v>155252</v>
      </c>
    </row>
    <row r="6754" spans="3:3">
      <c r="C6754">
        <v>155275</v>
      </c>
    </row>
    <row r="6755" spans="3:3">
      <c r="C6755">
        <v>155298</v>
      </c>
    </row>
    <row r="6756" spans="3:3">
      <c r="C6756">
        <v>155321</v>
      </c>
    </row>
    <row r="6757" spans="3:3">
      <c r="C6757">
        <v>155344</v>
      </c>
    </row>
    <row r="6758" spans="3:3">
      <c r="C6758">
        <v>155367</v>
      </c>
    </row>
    <row r="6759" spans="3:3">
      <c r="C6759">
        <v>155390</v>
      </c>
    </row>
    <row r="6760" spans="3:3">
      <c r="C6760">
        <v>155413</v>
      </c>
    </row>
    <row r="6761" spans="3:3">
      <c r="C6761">
        <v>155437</v>
      </c>
    </row>
    <row r="6762" spans="3:3">
      <c r="C6762">
        <v>155460</v>
      </c>
    </row>
    <row r="6763" spans="3:3">
      <c r="C6763">
        <v>155483</v>
      </c>
    </row>
    <row r="6764" spans="3:3">
      <c r="C6764">
        <v>155506</v>
      </c>
    </row>
    <row r="6765" spans="3:3">
      <c r="C6765">
        <v>155529</v>
      </c>
    </row>
    <row r="6766" spans="3:3">
      <c r="C6766">
        <v>155552</v>
      </c>
    </row>
    <row r="6767" spans="3:3">
      <c r="C6767">
        <v>155575</v>
      </c>
    </row>
    <row r="6768" spans="3:3">
      <c r="C6768">
        <v>155598</v>
      </c>
    </row>
    <row r="6769" spans="3:3">
      <c r="C6769">
        <v>155621</v>
      </c>
    </row>
    <row r="6770" spans="3:3">
      <c r="C6770">
        <v>155644</v>
      </c>
    </row>
    <row r="6771" spans="3:3">
      <c r="C6771">
        <v>155667</v>
      </c>
    </row>
    <row r="6772" spans="3:3">
      <c r="C6772">
        <v>155690</v>
      </c>
    </row>
    <row r="6773" spans="3:3">
      <c r="C6773">
        <v>155713</v>
      </c>
    </row>
    <row r="6774" spans="3:3">
      <c r="C6774">
        <v>155737</v>
      </c>
    </row>
    <row r="6775" spans="3:3">
      <c r="C6775">
        <v>155760</v>
      </c>
    </row>
    <row r="6776" spans="3:3">
      <c r="C6776">
        <v>155783</v>
      </c>
    </row>
    <row r="6777" spans="3:3">
      <c r="C6777">
        <v>155806</v>
      </c>
    </row>
    <row r="6778" spans="3:3">
      <c r="C6778">
        <v>155829</v>
      </c>
    </row>
    <row r="6779" spans="3:3">
      <c r="C6779">
        <v>155852</v>
      </c>
    </row>
    <row r="6780" spans="3:3">
      <c r="C6780">
        <v>155875</v>
      </c>
    </row>
    <row r="6781" spans="3:3">
      <c r="C6781">
        <v>155898</v>
      </c>
    </row>
    <row r="6782" spans="3:3">
      <c r="C6782">
        <v>155921</v>
      </c>
    </row>
    <row r="6783" spans="3:3">
      <c r="C6783">
        <v>155944</v>
      </c>
    </row>
    <row r="6784" spans="3:3">
      <c r="C6784">
        <v>155967</v>
      </c>
    </row>
    <row r="6785" spans="3:3">
      <c r="C6785">
        <v>155990</v>
      </c>
    </row>
    <row r="6786" spans="3:3">
      <c r="C6786">
        <v>156013</v>
      </c>
    </row>
    <row r="6787" spans="3:3">
      <c r="C6787">
        <v>156037</v>
      </c>
    </row>
    <row r="6788" spans="3:3">
      <c r="C6788">
        <v>156060</v>
      </c>
    </row>
    <row r="6789" spans="3:3">
      <c r="C6789">
        <v>156083</v>
      </c>
    </row>
    <row r="6790" spans="3:3">
      <c r="C6790">
        <v>156106</v>
      </c>
    </row>
    <row r="6791" spans="3:3">
      <c r="C6791">
        <v>156129</v>
      </c>
    </row>
    <row r="6792" spans="3:3">
      <c r="C6792">
        <v>156152</v>
      </c>
    </row>
    <row r="6793" spans="3:3">
      <c r="C6793">
        <v>156175</v>
      </c>
    </row>
    <row r="6794" spans="3:3">
      <c r="C6794">
        <v>156198</v>
      </c>
    </row>
    <row r="6795" spans="3:3">
      <c r="C6795">
        <v>156221</v>
      </c>
    </row>
    <row r="6796" spans="3:3">
      <c r="C6796">
        <v>156244</v>
      </c>
    </row>
    <row r="6797" spans="3:3">
      <c r="C6797">
        <v>156267</v>
      </c>
    </row>
    <row r="6798" spans="3:3">
      <c r="C6798">
        <v>156290</v>
      </c>
    </row>
    <row r="6799" spans="3:3">
      <c r="C6799">
        <v>156313</v>
      </c>
    </row>
    <row r="6800" spans="3:3">
      <c r="C6800">
        <v>156337</v>
      </c>
    </row>
    <row r="6801" spans="3:3">
      <c r="C6801">
        <v>156360</v>
      </c>
    </row>
    <row r="6802" spans="3:3">
      <c r="C6802">
        <v>156383</v>
      </c>
    </row>
    <row r="6803" spans="3:3">
      <c r="C6803">
        <v>156406</v>
      </c>
    </row>
    <row r="6804" spans="3:3">
      <c r="C6804">
        <v>156429</v>
      </c>
    </row>
    <row r="6805" spans="3:3">
      <c r="C6805">
        <v>156452</v>
      </c>
    </row>
    <row r="6806" spans="3:3">
      <c r="C6806">
        <v>156475</v>
      </c>
    </row>
    <row r="6807" spans="3:3">
      <c r="C6807">
        <v>156498</v>
      </c>
    </row>
    <row r="6808" spans="3:3">
      <c r="C6808">
        <v>156521</v>
      </c>
    </row>
    <row r="6809" spans="3:3">
      <c r="C6809">
        <v>156544</v>
      </c>
    </row>
    <row r="6810" spans="3:3">
      <c r="C6810">
        <v>156567</v>
      </c>
    </row>
    <row r="6811" spans="3:3">
      <c r="C6811">
        <v>156590</v>
      </c>
    </row>
    <row r="6812" spans="3:3">
      <c r="C6812">
        <v>156613</v>
      </c>
    </row>
    <row r="6813" spans="3:3">
      <c r="C6813">
        <v>156637</v>
      </c>
    </row>
    <row r="6814" spans="3:3">
      <c r="C6814">
        <v>156660</v>
      </c>
    </row>
    <row r="6815" spans="3:3">
      <c r="C6815">
        <v>156683</v>
      </c>
    </row>
    <row r="6816" spans="3:3">
      <c r="C6816">
        <v>156706</v>
      </c>
    </row>
    <row r="6817" spans="3:3">
      <c r="C6817">
        <v>156729</v>
      </c>
    </row>
    <row r="6818" spans="3:3">
      <c r="C6818">
        <v>156752</v>
      </c>
    </row>
    <row r="6819" spans="3:3">
      <c r="C6819">
        <v>156775</v>
      </c>
    </row>
    <row r="6820" spans="3:3">
      <c r="C6820">
        <v>156798</v>
      </c>
    </row>
    <row r="6821" spans="3:3">
      <c r="C6821">
        <v>156821</v>
      </c>
    </row>
    <row r="6822" spans="3:3">
      <c r="C6822">
        <v>156844</v>
      </c>
    </row>
    <row r="6823" spans="3:3">
      <c r="C6823">
        <v>156867</v>
      </c>
    </row>
    <row r="6824" spans="3:3">
      <c r="C6824">
        <v>156890</v>
      </c>
    </row>
    <row r="6825" spans="3:3">
      <c r="C6825">
        <v>156913</v>
      </c>
    </row>
    <row r="6826" spans="3:3">
      <c r="C6826">
        <v>156937</v>
      </c>
    </row>
    <row r="6827" spans="3:3">
      <c r="C6827">
        <v>156960</v>
      </c>
    </row>
    <row r="6828" spans="3:3">
      <c r="C6828">
        <v>156983</v>
      </c>
    </row>
    <row r="6829" spans="3:3">
      <c r="C6829">
        <v>157006</v>
      </c>
    </row>
    <row r="6830" spans="3:3">
      <c r="C6830">
        <v>157029</v>
      </c>
    </row>
    <row r="6831" spans="3:3">
      <c r="C6831">
        <v>157052</v>
      </c>
    </row>
    <row r="6832" spans="3:3">
      <c r="C6832">
        <v>157075</v>
      </c>
    </row>
    <row r="6833" spans="3:3">
      <c r="C6833">
        <v>157098</v>
      </c>
    </row>
    <row r="6834" spans="3:3">
      <c r="C6834">
        <v>157121</v>
      </c>
    </row>
    <row r="6835" spans="3:3">
      <c r="C6835">
        <v>157144</v>
      </c>
    </row>
    <row r="6836" spans="3:3">
      <c r="C6836">
        <v>157167</v>
      </c>
    </row>
    <row r="6837" spans="3:3">
      <c r="C6837">
        <v>157190</v>
      </c>
    </row>
    <row r="6838" spans="3:3">
      <c r="C6838">
        <v>157213</v>
      </c>
    </row>
    <row r="6839" spans="3:3">
      <c r="C6839">
        <v>157237</v>
      </c>
    </row>
    <row r="6840" spans="3:3">
      <c r="C6840">
        <v>157260</v>
      </c>
    </row>
    <row r="6841" spans="3:3">
      <c r="C6841">
        <v>157283</v>
      </c>
    </row>
    <row r="6842" spans="3:3">
      <c r="C6842">
        <v>157306</v>
      </c>
    </row>
    <row r="6843" spans="3:3">
      <c r="C6843">
        <v>157329</v>
      </c>
    </row>
    <row r="6844" spans="3:3">
      <c r="C6844">
        <v>157352</v>
      </c>
    </row>
    <row r="6845" spans="3:3">
      <c r="C6845">
        <v>157375</v>
      </c>
    </row>
    <row r="6846" spans="3:3">
      <c r="C6846">
        <v>157398</v>
      </c>
    </row>
    <row r="6847" spans="3:3">
      <c r="C6847">
        <v>157421</v>
      </c>
    </row>
    <row r="6848" spans="3:3">
      <c r="C6848">
        <v>157444</v>
      </c>
    </row>
    <row r="6849" spans="3:3">
      <c r="C6849">
        <v>157467</v>
      </c>
    </row>
    <row r="6850" spans="3:3">
      <c r="C6850">
        <v>157490</v>
      </c>
    </row>
    <row r="6851" spans="3:3">
      <c r="C6851">
        <v>157513</v>
      </c>
    </row>
    <row r="6852" spans="3:3">
      <c r="C6852">
        <v>157537</v>
      </c>
    </row>
    <row r="6853" spans="3:3">
      <c r="C6853">
        <v>157560</v>
      </c>
    </row>
    <row r="6854" spans="3:3">
      <c r="C6854">
        <v>157583</v>
      </c>
    </row>
    <row r="6855" spans="3:3">
      <c r="C6855">
        <v>157606</v>
      </c>
    </row>
    <row r="6856" spans="3:3">
      <c r="C6856">
        <v>157629</v>
      </c>
    </row>
    <row r="6857" spans="3:3">
      <c r="C6857">
        <v>157652</v>
      </c>
    </row>
    <row r="6858" spans="3:3">
      <c r="C6858">
        <v>157675</v>
      </c>
    </row>
    <row r="6859" spans="3:3">
      <c r="C6859">
        <v>157698</v>
      </c>
    </row>
    <row r="6860" spans="3:3">
      <c r="C6860">
        <v>157721</v>
      </c>
    </row>
    <row r="6861" spans="3:3">
      <c r="C6861">
        <v>157744</v>
      </c>
    </row>
    <row r="6862" spans="3:3">
      <c r="C6862">
        <v>157767</v>
      </c>
    </row>
    <row r="6863" spans="3:3">
      <c r="C6863">
        <v>157790</v>
      </c>
    </row>
    <row r="6864" spans="3:3">
      <c r="C6864">
        <v>157813</v>
      </c>
    </row>
    <row r="6865" spans="3:3">
      <c r="C6865">
        <v>157837</v>
      </c>
    </row>
    <row r="6866" spans="3:3">
      <c r="C6866">
        <v>157860</v>
      </c>
    </row>
    <row r="6867" spans="3:3">
      <c r="C6867">
        <v>157883</v>
      </c>
    </row>
    <row r="6868" spans="3:3">
      <c r="C6868">
        <v>157906</v>
      </c>
    </row>
    <row r="6869" spans="3:3">
      <c r="C6869">
        <v>157929</v>
      </c>
    </row>
    <row r="6870" spans="3:3">
      <c r="C6870">
        <v>157952</v>
      </c>
    </row>
    <row r="6871" spans="3:3">
      <c r="C6871">
        <v>157975</v>
      </c>
    </row>
    <row r="6872" spans="3:3">
      <c r="C6872">
        <v>157998</v>
      </c>
    </row>
    <row r="6873" spans="3:3">
      <c r="C6873">
        <v>158021</v>
      </c>
    </row>
    <row r="6874" spans="3:3">
      <c r="C6874">
        <v>158044</v>
      </c>
    </row>
    <row r="6875" spans="3:3">
      <c r="C6875">
        <v>158067</v>
      </c>
    </row>
    <row r="6876" spans="3:3">
      <c r="C6876">
        <v>158090</v>
      </c>
    </row>
    <row r="6877" spans="3:3">
      <c r="C6877">
        <v>158113</v>
      </c>
    </row>
    <row r="6878" spans="3:3">
      <c r="C6878">
        <v>158137</v>
      </c>
    </row>
    <row r="6879" spans="3:3">
      <c r="C6879">
        <v>158160</v>
      </c>
    </row>
    <row r="6880" spans="3:3">
      <c r="C6880">
        <v>158183</v>
      </c>
    </row>
    <row r="6881" spans="3:3">
      <c r="C6881">
        <v>158206</v>
      </c>
    </row>
    <row r="6882" spans="3:3">
      <c r="C6882">
        <v>158229</v>
      </c>
    </row>
    <row r="6883" spans="3:3">
      <c r="C6883">
        <v>158252</v>
      </c>
    </row>
    <row r="6884" spans="3:3">
      <c r="C6884">
        <v>158275</v>
      </c>
    </row>
    <row r="6885" spans="3:3">
      <c r="C6885">
        <v>158298</v>
      </c>
    </row>
    <row r="6886" spans="3:3">
      <c r="C6886">
        <v>158321</v>
      </c>
    </row>
    <row r="6887" spans="3:3">
      <c r="C6887">
        <v>158344</v>
      </c>
    </row>
    <row r="6888" spans="3:3">
      <c r="C6888">
        <v>158367</v>
      </c>
    </row>
    <row r="6889" spans="3:3">
      <c r="C6889">
        <v>158390</v>
      </c>
    </row>
    <row r="6890" spans="3:3">
      <c r="C6890">
        <v>158413</v>
      </c>
    </row>
    <row r="6891" spans="3:3">
      <c r="C6891">
        <v>158437</v>
      </c>
    </row>
    <row r="6892" spans="3:3">
      <c r="C6892">
        <v>158460</v>
      </c>
    </row>
    <row r="6893" spans="3:3">
      <c r="C6893">
        <v>158483</v>
      </c>
    </row>
    <row r="6894" spans="3:3">
      <c r="C6894">
        <v>158506</v>
      </c>
    </row>
    <row r="6895" spans="3:3">
      <c r="C6895">
        <v>158529</v>
      </c>
    </row>
    <row r="6896" spans="3:3">
      <c r="C6896">
        <v>158552</v>
      </c>
    </row>
    <row r="6897" spans="3:3">
      <c r="C6897">
        <v>158575</v>
      </c>
    </row>
    <row r="6898" spans="3:3">
      <c r="C6898">
        <v>158598</v>
      </c>
    </row>
    <row r="6899" spans="3:3">
      <c r="C6899">
        <v>158621</v>
      </c>
    </row>
    <row r="6900" spans="3:3">
      <c r="C6900">
        <v>158644</v>
      </c>
    </row>
    <row r="6901" spans="3:3">
      <c r="C6901">
        <v>158667</v>
      </c>
    </row>
    <row r="6902" spans="3:3">
      <c r="C6902">
        <v>158690</v>
      </c>
    </row>
    <row r="6903" spans="3:3">
      <c r="C6903">
        <v>158713</v>
      </c>
    </row>
    <row r="6904" spans="3:3">
      <c r="C6904">
        <v>158737</v>
      </c>
    </row>
    <row r="6905" spans="3:3">
      <c r="C6905">
        <v>158760</v>
      </c>
    </row>
    <row r="6906" spans="3:3">
      <c r="C6906">
        <v>158783</v>
      </c>
    </row>
    <row r="6907" spans="3:3">
      <c r="C6907">
        <v>158806</v>
      </c>
    </row>
    <row r="6908" spans="3:3">
      <c r="C6908">
        <v>158829</v>
      </c>
    </row>
    <row r="6909" spans="3:3">
      <c r="C6909">
        <v>158852</v>
      </c>
    </row>
    <row r="6910" spans="3:3">
      <c r="C6910">
        <v>158875</v>
      </c>
    </row>
    <row r="6911" spans="3:3">
      <c r="C6911">
        <v>158898</v>
      </c>
    </row>
    <row r="6912" spans="3:3">
      <c r="C6912">
        <v>158921</v>
      </c>
    </row>
    <row r="6913" spans="3:3">
      <c r="C6913">
        <v>158944</v>
      </c>
    </row>
    <row r="6914" spans="3:3">
      <c r="C6914">
        <v>158967</v>
      </c>
    </row>
    <row r="6915" spans="3:3">
      <c r="C6915">
        <v>158990</v>
      </c>
    </row>
    <row r="6916" spans="3:3">
      <c r="C6916">
        <v>159013</v>
      </c>
    </row>
    <row r="6917" spans="3:3">
      <c r="C6917">
        <v>159037</v>
      </c>
    </row>
    <row r="6918" spans="3:3">
      <c r="C6918">
        <v>159060</v>
      </c>
    </row>
    <row r="6919" spans="3:3">
      <c r="C6919">
        <v>159083</v>
      </c>
    </row>
    <row r="6920" spans="3:3">
      <c r="C6920">
        <v>159106</v>
      </c>
    </row>
    <row r="6921" spans="3:3">
      <c r="C6921">
        <v>159129</v>
      </c>
    </row>
    <row r="6922" spans="3:3">
      <c r="C6922">
        <v>159152</v>
      </c>
    </row>
    <row r="6923" spans="3:3">
      <c r="C6923">
        <v>159175</v>
      </c>
    </row>
    <row r="6924" spans="3:3">
      <c r="C6924">
        <v>159198</v>
      </c>
    </row>
    <row r="6925" spans="3:3">
      <c r="C6925">
        <v>159221</v>
      </c>
    </row>
    <row r="6926" spans="3:3">
      <c r="C6926">
        <v>159244</v>
      </c>
    </row>
    <row r="6927" spans="3:3">
      <c r="C6927">
        <v>159267</v>
      </c>
    </row>
    <row r="6928" spans="3:3">
      <c r="C6928">
        <v>159290</v>
      </c>
    </row>
    <row r="6929" spans="3:3">
      <c r="C6929">
        <v>159313</v>
      </c>
    </row>
    <row r="6930" spans="3:3">
      <c r="C6930">
        <v>159337</v>
      </c>
    </row>
    <row r="6931" spans="3:3">
      <c r="C6931">
        <v>159360</v>
      </c>
    </row>
    <row r="6932" spans="3:3">
      <c r="C6932">
        <v>159383</v>
      </c>
    </row>
    <row r="6933" spans="3:3">
      <c r="C6933">
        <v>159406</v>
      </c>
    </row>
    <row r="6934" spans="3:3">
      <c r="C6934">
        <v>159429</v>
      </c>
    </row>
    <row r="6935" spans="3:3">
      <c r="C6935">
        <v>159452</v>
      </c>
    </row>
    <row r="6936" spans="3:3">
      <c r="C6936">
        <v>159475</v>
      </c>
    </row>
    <row r="6937" spans="3:3">
      <c r="C6937">
        <v>159498</v>
      </c>
    </row>
    <row r="6938" spans="3:3">
      <c r="C6938">
        <v>159521</v>
      </c>
    </row>
    <row r="6939" spans="3:3">
      <c r="C6939">
        <v>159544</v>
      </c>
    </row>
    <row r="6940" spans="3:3">
      <c r="C6940">
        <v>159567</v>
      </c>
    </row>
    <row r="6941" spans="3:3">
      <c r="C6941">
        <v>159590</v>
      </c>
    </row>
    <row r="6942" spans="3:3">
      <c r="C6942">
        <v>159613</v>
      </c>
    </row>
    <row r="6943" spans="3:3">
      <c r="C6943">
        <v>159637</v>
      </c>
    </row>
    <row r="6944" spans="3:3">
      <c r="C6944">
        <v>159660</v>
      </c>
    </row>
    <row r="6945" spans="3:3">
      <c r="C6945">
        <v>159683</v>
      </c>
    </row>
    <row r="6946" spans="3:3">
      <c r="C6946">
        <v>159706</v>
      </c>
    </row>
    <row r="6947" spans="3:3">
      <c r="C6947">
        <v>159729</v>
      </c>
    </row>
    <row r="6948" spans="3:3">
      <c r="C6948">
        <v>159752</v>
      </c>
    </row>
    <row r="6949" spans="3:3">
      <c r="C6949">
        <v>159775</v>
      </c>
    </row>
    <row r="6950" spans="3:3">
      <c r="C6950">
        <v>159798</v>
      </c>
    </row>
    <row r="6951" spans="3:3">
      <c r="C6951">
        <v>159821</v>
      </c>
    </row>
    <row r="6952" spans="3:3">
      <c r="C6952">
        <v>159844</v>
      </c>
    </row>
    <row r="6953" spans="3:3">
      <c r="C6953">
        <v>159867</v>
      </c>
    </row>
    <row r="6954" spans="3:3">
      <c r="C6954">
        <v>159890</v>
      </c>
    </row>
    <row r="6955" spans="3:3">
      <c r="C6955">
        <v>159913</v>
      </c>
    </row>
    <row r="6956" spans="3:3">
      <c r="C6956">
        <v>159937</v>
      </c>
    </row>
    <row r="6957" spans="3:3">
      <c r="C6957">
        <v>159960</v>
      </c>
    </row>
    <row r="6958" spans="3:3">
      <c r="C6958">
        <v>159983</v>
      </c>
    </row>
    <row r="6959" spans="3:3">
      <c r="C6959">
        <v>160006</v>
      </c>
    </row>
    <row r="6960" spans="3:3">
      <c r="C6960">
        <v>160029</v>
      </c>
    </row>
    <row r="6961" spans="3:3">
      <c r="C6961">
        <v>160052</v>
      </c>
    </row>
    <row r="6962" spans="3:3">
      <c r="C6962">
        <v>160075</v>
      </c>
    </row>
    <row r="6963" spans="3:3">
      <c r="C6963">
        <v>160098</v>
      </c>
    </row>
    <row r="6964" spans="3:3">
      <c r="C6964">
        <v>160121</v>
      </c>
    </row>
    <row r="6965" spans="3:3">
      <c r="C6965">
        <v>160144</v>
      </c>
    </row>
    <row r="6966" spans="3:3">
      <c r="C6966">
        <v>160167</v>
      </c>
    </row>
    <row r="6967" spans="3:3">
      <c r="C6967">
        <v>160190</v>
      </c>
    </row>
    <row r="6968" spans="3:3">
      <c r="C6968">
        <v>160213</v>
      </c>
    </row>
    <row r="6969" spans="3:3">
      <c r="C6969">
        <v>160237</v>
      </c>
    </row>
    <row r="6970" spans="3:3">
      <c r="C6970">
        <v>160260</v>
      </c>
    </row>
    <row r="6971" spans="3:3">
      <c r="C6971">
        <v>160283</v>
      </c>
    </row>
    <row r="6972" spans="3:3">
      <c r="C6972">
        <v>160306</v>
      </c>
    </row>
    <row r="6973" spans="3:3">
      <c r="C6973">
        <v>160329</v>
      </c>
    </row>
    <row r="6974" spans="3:3">
      <c r="C6974">
        <v>160352</v>
      </c>
    </row>
    <row r="6975" spans="3:3">
      <c r="C6975">
        <v>160375</v>
      </c>
    </row>
    <row r="6976" spans="3:3">
      <c r="C6976">
        <v>160398</v>
      </c>
    </row>
    <row r="6977" spans="3:3">
      <c r="C6977">
        <v>160421</v>
      </c>
    </row>
    <row r="6978" spans="3:3">
      <c r="C6978">
        <v>160444</v>
      </c>
    </row>
    <row r="6979" spans="3:3">
      <c r="C6979">
        <v>160467</v>
      </c>
    </row>
    <row r="6980" spans="3:3">
      <c r="C6980">
        <v>160490</v>
      </c>
    </row>
    <row r="6981" spans="3:3">
      <c r="C6981">
        <v>160513</v>
      </c>
    </row>
    <row r="6982" spans="3:3">
      <c r="C6982">
        <v>160537</v>
      </c>
    </row>
    <row r="6983" spans="3:3">
      <c r="C6983">
        <v>160560</v>
      </c>
    </row>
    <row r="6984" spans="3:3">
      <c r="C6984">
        <v>160583</v>
      </c>
    </row>
    <row r="6985" spans="3:3">
      <c r="C6985">
        <v>160606</v>
      </c>
    </row>
    <row r="6986" spans="3:3">
      <c r="C6986">
        <v>160629</v>
      </c>
    </row>
    <row r="6987" spans="3:3">
      <c r="C6987">
        <v>160652</v>
      </c>
    </row>
    <row r="6988" spans="3:3">
      <c r="C6988">
        <v>160675</v>
      </c>
    </row>
    <row r="6989" spans="3:3">
      <c r="C6989">
        <v>160698</v>
      </c>
    </row>
    <row r="6990" spans="3:3">
      <c r="C6990">
        <v>160721</v>
      </c>
    </row>
    <row r="6991" spans="3:3">
      <c r="C6991">
        <v>160744</v>
      </c>
    </row>
    <row r="6992" spans="3:3">
      <c r="C6992">
        <v>160767</v>
      </c>
    </row>
    <row r="6993" spans="3:3">
      <c r="C6993">
        <v>160790</v>
      </c>
    </row>
    <row r="6994" spans="3:3">
      <c r="C6994">
        <v>160813</v>
      </c>
    </row>
    <row r="6995" spans="3:3">
      <c r="C6995">
        <v>160837</v>
      </c>
    </row>
    <row r="6996" spans="3:3">
      <c r="C6996">
        <v>160860</v>
      </c>
    </row>
    <row r="6997" spans="3:3">
      <c r="C6997">
        <v>160883</v>
      </c>
    </row>
    <row r="6998" spans="3:3">
      <c r="C6998">
        <v>160906</v>
      </c>
    </row>
    <row r="6999" spans="3:3">
      <c r="C6999">
        <v>160929</v>
      </c>
    </row>
    <row r="7000" spans="3:3">
      <c r="C7000">
        <v>160952</v>
      </c>
    </row>
    <row r="7001" spans="3:3">
      <c r="C7001">
        <v>160975</v>
      </c>
    </row>
    <row r="7002" spans="3:3">
      <c r="C7002">
        <v>160998</v>
      </c>
    </row>
    <row r="7003" spans="3:3">
      <c r="C7003">
        <v>161021</v>
      </c>
    </row>
    <row r="7004" spans="3:3">
      <c r="C7004">
        <v>161044</v>
      </c>
    </row>
    <row r="7005" spans="3:3">
      <c r="C7005">
        <v>161067</v>
      </c>
    </row>
    <row r="7006" spans="3:3">
      <c r="C7006">
        <v>161090</v>
      </c>
    </row>
    <row r="7007" spans="3:3">
      <c r="C7007">
        <v>161113</v>
      </c>
    </row>
    <row r="7008" spans="3:3">
      <c r="C7008">
        <v>161137</v>
      </c>
    </row>
    <row r="7009" spans="3:3">
      <c r="C7009">
        <v>161160</v>
      </c>
    </row>
    <row r="7010" spans="3:3">
      <c r="C7010">
        <v>161183</v>
      </c>
    </row>
    <row r="7011" spans="3:3">
      <c r="C7011">
        <v>161206</v>
      </c>
    </row>
    <row r="7012" spans="3:3">
      <c r="C7012">
        <v>161229</v>
      </c>
    </row>
    <row r="7013" spans="3:3">
      <c r="C7013">
        <v>161252</v>
      </c>
    </row>
    <row r="7014" spans="3:3">
      <c r="C7014">
        <v>161275</v>
      </c>
    </row>
    <row r="7015" spans="3:3">
      <c r="C7015">
        <v>161298</v>
      </c>
    </row>
    <row r="7016" spans="3:3">
      <c r="C7016">
        <v>161321</v>
      </c>
    </row>
    <row r="7017" spans="3:3">
      <c r="C7017">
        <v>161344</v>
      </c>
    </row>
    <row r="7018" spans="3:3">
      <c r="C7018">
        <v>161367</v>
      </c>
    </row>
    <row r="7019" spans="3:3">
      <c r="C7019">
        <v>161390</v>
      </c>
    </row>
    <row r="7020" spans="3:3">
      <c r="C7020">
        <v>161413</v>
      </c>
    </row>
    <row r="7021" spans="3:3">
      <c r="C7021">
        <v>161437</v>
      </c>
    </row>
    <row r="7022" spans="3:3">
      <c r="C7022">
        <v>161460</v>
      </c>
    </row>
    <row r="7023" spans="3:3">
      <c r="C7023">
        <v>161483</v>
      </c>
    </row>
    <row r="7024" spans="3:3">
      <c r="C7024">
        <v>161506</v>
      </c>
    </row>
    <row r="7025" spans="3:3">
      <c r="C7025">
        <v>161529</v>
      </c>
    </row>
    <row r="7026" spans="3:3">
      <c r="C7026">
        <v>161552</v>
      </c>
    </row>
    <row r="7027" spans="3:3">
      <c r="C7027">
        <v>161575</v>
      </c>
    </row>
    <row r="7028" spans="3:3">
      <c r="C7028">
        <v>161598</v>
      </c>
    </row>
    <row r="7029" spans="3:3">
      <c r="C7029">
        <v>161621</v>
      </c>
    </row>
    <row r="7030" spans="3:3">
      <c r="C7030">
        <v>161644</v>
      </c>
    </row>
    <row r="7031" spans="3:3">
      <c r="C7031">
        <v>161667</v>
      </c>
    </row>
    <row r="7032" spans="3:3">
      <c r="C7032">
        <v>161690</v>
      </c>
    </row>
    <row r="7033" spans="3:3">
      <c r="C7033">
        <v>161713</v>
      </c>
    </row>
    <row r="7034" spans="3:3">
      <c r="C7034">
        <v>161737</v>
      </c>
    </row>
    <row r="7035" spans="3:3">
      <c r="C7035">
        <v>161760</v>
      </c>
    </row>
    <row r="7036" spans="3:3">
      <c r="C7036">
        <v>161783</v>
      </c>
    </row>
    <row r="7037" spans="3:3">
      <c r="C7037">
        <v>161806</v>
      </c>
    </row>
    <row r="7038" spans="3:3">
      <c r="C7038">
        <v>161829</v>
      </c>
    </row>
    <row r="7039" spans="3:3">
      <c r="C7039">
        <v>161852</v>
      </c>
    </row>
    <row r="7040" spans="3:3">
      <c r="C7040">
        <v>161875</v>
      </c>
    </row>
    <row r="7041" spans="3:3">
      <c r="C7041">
        <v>161898</v>
      </c>
    </row>
    <row r="7042" spans="3:3">
      <c r="C7042">
        <v>161921</v>
      </c>
    </row>
    <row r="7043" spans="3:3">
      <c r="C7043">
        <v>161944</v>
      </c>
    </row>
    <row r="7044" spans="3:3">
      <c r="C7044">
        <v>161967</v>
      </c>
    </row>
    <row r="7045" spans="3:3">
      <c r="C7045">
        <v>161990</v>
      </c>
    </row>
    <row r="7046" spans="3:3">
      <c r="C7046">
        <v>162013</v>
      </c>
    </row>
    <row r="7047" spans="3:3">
      <c r="C7047">
        <v>162037</v>
      </c>
    </row>
    <row r="7048" spans="3:3">
      <c r="C7048">
        <v>162060</v>
      </c>
    </row>
    <row r="7049" spans="3:3">
      <c r="C7049">
        <v>162083</v>
      </c>
    </row>
    <row r="7050" spans="3:3">
      <c r="C7050">
        <v>162106</v>
      </c>
    </row>
    <row r="7051" spans="3:3">
      <c r="C7051">
        <v>162129</v>
      </c>
    </row>
    <row r="7052" spans="3:3">
      <c r="C7052">
        <v>162152</v>
      </c>
    </row>
    <row r="7053" spans="3:3">
      <c r="C7053">
        <v>162175</v>
      </c>
    </row>
    <row r="7054" spans="3:3">
      <c r="C7054">
        <v>162198</v>
      </c>
    </row>
    <row r="7055" spans="3:3">
      <c r="C7055">
        <v>162221</v>
      </c>
    </row>
    <row r="7056" spans="3:3">
      <c r="C7056">
        <v>162244</v>
      </c>
    </row>
    <row r="7057" spans="3:3">
      <c r="C7057">
        <v>162267</v>
      </c>
    </row>
    <row r="7058" spans="3:3">
      <c r="C7058">
        <v>162290</v>
      </c>
    </row>
    <row r="7059" spans="3:3">
      <c r="C7059">
        <v>162313</v>
      </c>
    </row>
    <row r="7060" spans="3:3">
      <c r="C7060">
        <v>162337</v>
      </c>
    </row>
    <row r="7061" spans="3:3">
      <c r="C7061">
        <v>162360</v>
      </c>
    </row>
    <row r="7062" spans="3:3">
      <c r="C7062">
        <v>162383</v>
      </c>
    </row>
    <row r="7063" spans="3:3">
      <c r="C7063">
        <v>162406</v>
      </c>
    </row>
    <row r="7064" spans="3:3">
      <c r="C7064">
        <v>162429</v>
      </c>
    </row>
    <row r="7065" spans="3:3">
      <c r="C7065">
        <v>162452</v>
      </c>
    </row>
    <row r="7066" spans="3:3">
      <c r="C7066">
        <v>162475</v>
      </c>
    </row>
    <row r="7067" spans="3:3">
      <c r="C7067">
        <v>162498</v>
      </c>
    </row>
    <row r="7068" spans="3:3">
      <c r="C7068">
        <v>162521</v>
      </c>
    </row>
    <row r="7069" spans="3:3">
      <c r="C7069">
        <v>162544</v>
      </c>
    </row>
    <row r="7070" spans="3:3">
      <c r="C7070">
        <v>162567</v>
      </c>
    </row>
    <row r="7071" spans="3:3">
      <c r="C7071">
        <v>162590</v>
      </c>
    </row>
    <row r="7072" spans="3:3">
      <c r="C7072">
        <v>162613</v>
      </c>
    </row>
    <row r="7073" spans="3:3">
      <c r="C7073">
        <v>162637</v>
      </c>
    </row>
    <row r="7074" spans="3:3">
      <c r="C7074">
        <v>162660</v>
      </c>
    </row>
    <row r="7075" spans="3:3">
      <c r="C7075">
        <v>162683</v>
      </c>
    </row>
    <row r="7076" spans="3:3">
      <c r="C7076">
        <v>162706</v>
      </c>
    </row>
    <row r="7077" spans="3:3">
      <c r="C7077">
        <v>162729</v>
      </c>
    </row>
    <row r="7078" spans="3:3">
      <c r="C7078">
        <v>162752</v>
      </c>
    </row>
    <row r="7079" spans="3:3">
      <c r="C7079">
        <v>162775</v>
      </c>
    </row>
    <row r="7080" spans="3:3">
      <c r="C7080">
        <v>162798</v>
      </c>
    </row>
    <row r="7081" spans="3:3">
      <c r="C7081">
        <v>162821</v>
      </c>
    </row>
    <row r="7082" spans="3:3">
      <c r="C7082">
        <v>162844</v>
      </c>
    </row>
    <row r="7083" spans="3:3">
      <c r="C7083">
        <v>162867</v>
      </c>
    </row>
    <row r="7084" spans="3:3">
      <c r="C7084">
        <v>162890</v>
      </c>
    </row>
    <row r="7085" spans="3:3">
      <c r="C7085">
        <v>162913</v>
      </c>
    </row>
    <row r="7086" spans="3:3">
      <c r="C7086">
        <v>162937</v>
      </c>
    </row>
    <row r="7087" spans="3:3">
      <c r="C7087">
        <v>162960</v>
      </c>
    </row>
    <row r="7088" spans="3:3">
      <c r="C7088">
        <v>162983</v>
      </c>
    </row>
    <row r="7089" spans="3:3">
      <c r="C7089">
        <v>163006</v>
      </c>
    </row>
    <row r="7090" spans="3:3">
      <c r="C7090">
        <v>163029</v>
      </c>
    </row>
    <row r="7091" spans="3:3">
      <c r="C7091">
        <v>163052</v>
      </c>
    </row>
    <row r="7092" spans="3:3">
      <c r="C7092">
        <v>163075</v>
      </c>
    </row>
    <row r="7093" spans="3:3">
      <c r="C7093">
        <v>163098</v>
      </c>
    </row>
    <row r="7094" spans="3:3">
      <c r="C7094">
        <v>163121</v>
      </c>
    </row>
    <row r="7095" spans="3:3">
      <c r="C7095">
        <v>163144</v>
      </c>
    </row>
    <row r="7096" spans="3:3">
      <c r="C7096">
        <v>163167</v>
      </c>
    </row>
    <row r="7097" spans="3:3">
      <c r="C7097">
        <v>163190</v>
      </c>
    </row>
    <row r="7098" spans="3:3">
      <c r="C7098">
        <v>163213</v>
      </c>
    </row>
    <row r="7099" spans="3:3">
      <c r="C7099">
        <v>163237</v>
      </c>
    </row>
    <row r="7100" spans="3:3">
      <c r="C7100">
        <v>163260</v>
      </c>
    </row>
    <row r="7101" spans="3:3">
      <c r="C7101">
        <v>163283</v>
      </c>
    </row>
    <row r="7102" spans="3:3">
      <c r="C7102">
        <v>163306</v>
      </c>
    </row>
    <row r="7103" spans="3:3">
      <c r="C7103">
        <v>163329</v>
      </c>
    </row>
    <row r="7104" spans="3:3">
      <c r="C7104">
        <v>163352</v>
      </c>
    </row>
    <row r="7105" spans="3:3">
      <c r="C7105">
        <v>163375</v>
      </c>
    </row>
    <row r="7106" spans="3:3">
      <c r="C7106">
        <v>163398</v>
      </c>
    </row>
    <row r="7107" spans="3:3">
      <c r="C7107">
        <v>163421</v>
      </c>
    </row>
    <row r="7108" spans="3:3">
      <c r="C7108">
        <v>163444</v>
      </c>
    </row>
    <row r="7109" spans="3:3">
      <c r="C7109">
        <v>163467</v>
      </c>
    </row>
    <row r="7110" spans="3:3">
      <c r="C7110">
        <v>163490</v>
      </c>
    </row>
    <row r="7111" spans="3:3">
      <c r="C7111">
        <v>163513</v>
      </c>
    </row>
    <row r="7112" spans="3:3">
      <c r="C7112">
        <v>163537</v>
      </c>
    </row>
    <row r="7113" spans="3:3">
      <c r="C7113">
        <v>163560</v>
      </c>
    </row>
    <row r="7114" spans="3:3">
      <c r="C7114">
        <v>163583</v>
      </c>
    </row>
    <row r="7115" spans="3:3">
      <c r="C7115">
        <v>163606</v>
      </c>
    </row>
    <row r="7116" spans="3:3">
      <c r="C7116">
        <v>163629</v>
      </c>
    </row>
    <row r="7117" spans="3:3">
      <c r="C7117">
        <v>163652</v>
      </c>
    </row>
    <row r="7118" spans="3:3">
      <c r="C7118">
        <v>163675</v>
      </c>
    </row>
    <row r="7119" spans="3:3">
      <c r="C7119">
        <v>163698</v>
      </c>
    </row>
    <row r="7120" spans="3:3">
      <c r="C7120">
        <v>163721</v>
      </c>
    </row>
    <row r="7121" spans="3:3">
      <c r="C7121">
        <v>163744</v>
      </c>
    </row>
    <row r="7122" spans="3:3">
      <c r="C7122">
        <v>163767</v>
      </c>
    </row>
    <row r="7123" spans="3:3">
      <c r="C7123">
        <v>163790</v>
      </c>
    </row>
    <row r="7124" spans="3:3">
      <c r="C7124">
        <v>163813</v>
      </c>
    </row>
    <row r="7125" spans="3:3">
      <c r="C7125">
        <v>163837</v>
      </c>
    </row>
    <row r="7126" spans="3:3">
      <c r="C7126">
        <v>163860</v>
      </c>
    </row>
    <row r="7127" spans="3:3">
      <c r="C7127">
        <v>163883</v>
      </c>
    </row>
    <row r="7128" spans="3:3">
      <c r="C7128">
        <v>163906</v>
      </c>
    </row>
    <row r="7129" spans="3:3">
      <c r="C7129">
        <v>163929</v>
      </c>
    </row>
    <row r="7130" spans="3:3">
      <c r="C7130">
        <v>163952</v>
      </c>
    </row>
    <row r="7131" spans="3:3">
      <c r="C7131">
        <v>163975</v>
      </c>
    </row>
    <row r="7132" spans="3:3">
      <c r="C7132">
        <v>163998</v>
      </c>
    </row>
    <row r="7133" spans="3:3">
      <c r="C7133">
        <v>164021</v>
      </c>
    </row>
    <row r="7134" spans="3:3">
      <c r="C7134">
        <v>164044</v>
      </c>
    </row>
    <row r="7135" spans="3:3">
      <c r="C7135">
        <v>164067</v>
      </c>
    </row>
    <row r="7136" spans="3:3">
      <c r="C7136">
        <v>164090</v>
      </c>
    </row>
    <row r="7137" spans="3:3">
      <c r="C7137">
        <v>164113</v>
      </c>
    </row>
    <row r="7138" spans="3:3">
      <c r="C7138">
        <v>164137</v>
      </c>
    </row>
    <row r="7139" spans="3:3">
      <c r="C7139">
        <v>164160</v>
      </c>
    </row>
    <row r="7140" spans="3:3">
      <c r="C7140">
        <v>164183</v>
      </c>
    </row>
    <row r="7141" spans="3:3">
      <c r="C7141">
        <v>164206</v>
      </c>
    </row>
    <row r="7142" spans="3:3">
      <c r="C7142">
        <v>164229</v>
      </c>
    </row>
    <row r="7143" spans="3:3">
      <c r="C7143">
        <v>164252</v>
      </c>
    </row>
    <row r="7144" spans="3:3">
      <c r="C7144">
        <v>164275</v>
      </c>
    </row>
    <row r="7145" spans="3:3">
      <c r="C7145">
        <v>164298</v>
      </c>
    </row>
    <row r="7146" spans="3:3">
      <c r="C7146">
        <v>164321</v>
      </c>
    </row>
    <row r="7147" spans="3:3">
      <c r="C7147">
        <v>164344</v>
      </c>
    </row>
    <row r="7148" spans="3:3">
      <c r="C7148">
        <v>164367</v>
      </c>
    </row>
    <row r="7149" spans="3:3">
      <c r="C7149">
        <v>164390</v>
      </c>
    </row>
    <row r="7150" spans="3:3">
      <c r="C7150">
        <v>164413</v>
      </c>
    </row>
    <row r="7151" spans="3:3">
      <c r="C7151">
        <v>164437</v>
      </c>
    </row>
    <row r="7152" spans="3:3">
      <c r="C7152">
        <v>164460</v>
      </c>
    </row>
    <row r="7153" spans="3:3">
      <c r="C7153">
        <v>164483</v>
      </c>
    </row>
    <row r="7154" spans="3:3">
      <c r="C7154">
        <v>164506</v>
      </c>
    </row>
    <row r="7155" spans="3:3">
      <c r="C7155">
        <v>164529</v>
      </c>
    </row>
    <row r="7156" spans="3:3">
      <c r="C7156">
        <v>164552</v>
      </c>
    </row>
    <row r="7157" spans="3:3">
      <c r="C7157">
        <v>164575</v>
      </c>
    </row>
    <row r="7158" spans="3:3">
      <c r="C7158">
        <v>164598</v>
      </c>
    </row>
    <row r="7159" spans="3:3">
      <c r="C7159">
        <v>164621</v>
      </c>
    </row>
    <row r="7160" spans="3:3">
      <c r="C7160">
        <v>164644</v>
      </c>
    </row>
    <row r="7161" spans="3:3">
      <c r="C7161">
        <v>164667</v>
      </c>
    </row>
    <row r="7162" spans="3:3">
      <c r="C7162">
        <v>164690</v>
      </c>
    </row>
    <row r="7163" spans="3:3">
      <c r="C7163">
        <v>164713</v>
      </c>
    </row>
    <row r="7164" spans="3:3">
      <c r="C7164">
        <v>164737</v>
      </c>
    </row>
    <row r="7165" spans="3:3">
      <c r="C7165">
        <v>164760</v>
      </c>
    </row>
    <row r="7166" spans="3:3">
      <c r="C7166">
        <v>164783</v>
      </c>
    </row>
    <row r="7167" spans="3:3">
      <c r="C7167">
        <v>164806</v>
      </c>
    </row>
    <row r="7168" spans="3:3">
      <c r="C7168">
        <v>164829</v>
      </c>
    </row>
    <row r="7169" spans="3:3">
      <c r="C7169">
        <v>164852</v>
      </c>
    </row>
    <row r="7170" spans="3:3">
      <c r="C7170">
        <v>164875</v>
      </c>
    </row>
    <row r="7171" spans="3:3">
      <c r="C7171">
        <v>164898</v>
      </c>
    </row>
    <row r="7172" spans="3:3">
      <c r="C7172">
        <v>164921</v>
      </c>
    </row>
    <row r="7173" spans="3:3">
      <c r="C7173">
        <v>164944</v>
      </c>
    </row>
    <row r="7174" spans="3:3">
      <c r="C7174">
        <v>164967</v>
      </c>
    </row>
    <row r="7175" spans="3:3">
      <c r="C7175">
        <v>164990</v>
      </c>
    </row>
    <row r="7176" spans="3:3">
      <c r="C7176">
        <v>165013</v>
      </c>
    </row>
    <row r="7177" spans="3:3">
      <c r="C7177">
        <v>165037</v>
      </c>
    </row>
    <row r="7178" spans="3:3">
      <c r="C7178">
        <v>165060</v>
      </c>
    </row>
    <row r="7179" spans="3:3">
      <c r="C7179">
        <v>165083</v>
      </c>
    </row>
    <row r="7180" spans="3:3">
      <c r="C7180">
        <v>165106</v>
      </c>
    </row>
    <row r="7181" spans="3:3">
      <c r="C7181">
        <v>165129</v>
      </c>
    </row>
    <row r="7182" spans="3:3">
      <c r="C7182">
        <v>165152</v>
      </c>
    </row>
    <row r="7183" spans="3:3">
      <c r="C7183">
        <v>165175</v>
      </c>
    </row>
    <row r="7184" spans="3:3">
      <c r="C7184">
        <v>165198</v>
      </c>
    </row>
    <row r="7185" spans="3:3">
      <c r="C7185">
        <v>165221</v>
      </c>
    </row>
    <row r="7186" spans="3:3">
      <c r="C7186">
        <v>165244</v>
      </c>
    </row>
    <row r="7187" spans="3:3">
      <c r="C7187">
        <v>165267</v>
      </c>
    </row>
    <row r="7188" spans="3:3">
      <c r="C7188">
        <v>165290</v>
      </c>
    </row>
    <row r="7189" spans="3:3">
      <c r="C7189">
        <v>165313</v>
      </c>
    </row>
    <row r="7190" spans="3:3">
      <c r="C7190">
        <v>165337</v>
      </c>
    </row>
    <row r="7191" spans="3:3">
      <c r="C7191">
        <v>165360</v>
      </c>
    </row>
    <row r="7192" spans="3:3">
      <c r="C7192">
        <v>165383</v>
      </c>
    </row>
    <row r="7193" spans="3:3">
      <c r="C7193">
        <v>165406</v>
      </c>
    </row>
    <row r="7194" spans="3:3">
      <c r="C7194">
        <v>165429</v>
      </c>
    </row>
    <row r="7195" spans="3:3">
      <c r="C7195">
        <v>165452</v>
      </c>
    </row>
    <row r="7196" spans="3:3">
      <c r="C7196">
        <v>165475</v>
      </c>
    </row>
    <row r="7197" spans="3:3">
      <c r="C7197">
        <v>165498</v>
      </c>
    </row>
    <row r="7198" spans="3:3">
      <c r="C7198">
        <v>165521</v>
      </c>
    </row>
    <row r="7199" spans="3:3">
      <c r="C7199">
        <v>165544</v>
      </c>
    </row>
    <row r="7200" spans="3:3">
      <c r="C7200">
        <v>165567</v>
      </c>
    </row>
    <row r="7201" spans="3:3">
      <c r="C7201">
        <v>165590</v>
      </c>
    </row>
    <row r="7202" spans="3:3">
      <c r="C7202">
        <v>165613</v>
      </c>
    </row>
    <row r="7203" spans="3:3">
      <c r="C7203">
        <v>165637</v>
      </c>
    </row>
    <row r="7204" spans="3:3">
      <c r="C7204">
        <v>165660</v>
      </c>
    </row>
    <row r="7205" spans="3:3">
      <c r="C7205">
        <v>165683</v>
      </c>
    </row>
    <row r="7206" spans="3:3">
      <c r="C7206">
        <v>165706</v>
      </c>
    </row>
    <row r="7207" spans="3:3">
      <c r="C7207">
        <v>165729</v>
      </c>
    </row>
    <row r="7208" spans="3:3">
      <c r="C7208">
        <v>165752</v>
      </c>
    </row>
    <row r="7209" spans="3:3">
      <c r="C7209">
        <v>165775</v>
      </c>
    </row>
    <row r="7210" spans="3:3">
      <c r="C7210">
        <v>165798</v>
      </c>
    </row>
    <row r="7211" spans="3:3">
      <c r="C7211">
        <v>165821</v>
      </c>
    </row>
    <row r="7212" spans="3:3">
      <c r="C7212">
        <v>165844</v>
      </c>
    </row>
    <row r="7213" spans="3:3">
      <c r="C7213">
        <v>165867</v>
      </c>
    </row>
    <row r="7214" spans="3:3">
      <c r="C7214">
        <v>165890</v>
      </c>
    </row>
    <row r="7215" spans="3:3">
      <c r="C7215">
        <v>165913</v>
      </c>
    </row>
    <row r="7216" spans="3:3">
      <c r="C7216">
        <v>165937</v>
      </c>
    </row>
    <row r="7217" spans="3:3">
      <c r="C7217">
        <v>165960</v>
      </c>
    </row>
    <row r="7218" spans="3:3">
      <c r="C7218">
        <v>165983</v>
      </c>
    </row>
    <row r="7219" spans="3:3">
      <c r="C7219">
        <v>166006</v>
      </c>
    </row>
    <row r="7220" spans="3:3">
      <c r="C7220">
        <v>166029</v>
      </c>
    </row>
    <row r="7221" spans="3:3">
      <c r="C7221">
        <v>166052</v>
      </c>
    </row>
    <row r="7222" spans="3:3">
      <c r="C7222">
        <v>166075</v>
      </c>
    </row>
    <row r="7223" spans="3:3">
      <c r="C7223">
        <v>166098</v>
      </c>
    </row>
    <row r="7224" spans="3:3">
      <c r="C7224">
        <v>166121</v>
      </c>
    </row>
    <row r="7225" spans="3:3">
      <c r="C7225">
        <v>166144</v>
      </c>
    </row>
    <row r="7226" spans="3:3">
      <c r="C7226">
        <v>166167</v>
      </c>
    </row>
    <row r="7227" spans="3:3">
      <c r="C7227">
        <v>166190</v>
      </c>
    </row>
    <row r="7228" spans="3:3">
      <c r="C7228">
        <v>166213</v>
      </c>
    </row>
    <row r="7229" spans="3:3">
      <c r="C7229">
        <v>166237</v>
      </c>
    </row>
    <row r="7230" spans="3:3">
      <c r="C7230">
        <v>166260</v>
      </c>
    </row>
    <row r="7231" spans="3:3">
      <c r="C7231">
        <v>166283</v>
      </c>
    </row>
    <row r="7232" spans="3:3">
      <c r="C7232">
        <v>166306</v>
      </c>
    </row>
    <row r="7233" spans="3:3">
      <c r="C7233">
        <v>166329</v>
      </c>
    </row>
    <row r="7234" spans="3:3">
      <c r="C7234">
        <v>166352</v>
      </c>
    </row>
    <row r="7235" spans="3:3">
      <c r="C7235">
        <v>166375</v>
      </c>
    </row>
    <row r="7236" spans="3:3">
      <c r="C7236">
        <v>166398</v>
      </c>
    </row>
    <row r="7237" spans="3:3">
      <c r="C7237">
        <v>166421</v>
      </c>
    </row>
    <row r="7238" spans="3:3">
      <c r="C7238">
        <v>166444</v>
      </c>
    </row>
    <row r="7239" spans="3:3">
      <c r="C7239">
        <v>166467</v>
      </c>
    </row>
    <row r="7240" spans="3:3">
      <c r="C7240">
        <v>166490</v>
      </c>
    </row>
    <row r="7241" spans="3:3">
      <c r="C7241">
        <v>166513</v>
      </c>
    </row>
    <row r="7242" spans="3:3">
      <c r="C7242">
        <v>166537</v>
      </c>
    </row>
    <row r="7243" spans="3:3">
      <c r="C7243">
        <v>166560</v>
      </c>
    </row>
    <row r="7244" spans="3:3">
      <c r="C7244">
        <v>166583</v>
      </c>
    </row>
    <row r="7245" spans="3:3">
      <c r="C7245">
        <v>166606</v>
      </c>
    </row>
    <row r="7246" spans="3:3">
      <c r="C7246">
        <v>166629</v>
      </c>
    </row>
    <row r="7247" spans="3:3">
      <c r="C7247">
        <v>166652</v>
      </c>
    </row>
    <row r="7248" spans="3:3">
      <c r="C7248">
        <v>166675</v>
      </c>
    </row>
    <row r="7249" spans="3:3">
      <c r="C7249">
        <v>166698</v>
      </c>
    </row>
    <row r="7250" spans="3:3">
      <c r="C7250">
        <v>166721</v>
      </c>
    </row>
    <row r="7251" spans="3:3">
      <c r="C7251">
        <v>166744</v>
      </c>
    </row>
    <row r="7252" spans="3:3">
      <c r="C7252">
        <v>166767</v>
      </c>
    </row>
    <row r="7253" spans="3:3">
      <c r="C7253">
        <v>166790</v>
      </c>
    </row>
    <row r="7254" spans="3:3">
      <c r="C7254">
        <v>166813</v>
      </c>
    </row>
    <row r="7255" spans="3:3">
      <c r="C7255">
        <v>166837</v>
      </c>
    </row>
    <row r="7256" spans="3:3">
      <c r="C7256">
        <v>166860</v>
      </c>
    </row>
    <row r="7257" spans="3:3">
      <c r="C7257">
        <v>166883</v>
      </c>
    </row>
    <row r="7258" spans="3:3">
      <c r="C7258">
        <v>166906</v>
      </c>
    </row>
    <row r="7259" spans="3:3">
      <c r="C7259">
        <v>166929</v>
      </c>
    </row>
    <row r="7260" spans="3:3">
      <c r="C7260">
        <v>166952</v>
      </c>
    </row>
    <row r="7261" spans="3:3">
      <c r="C7261">
        <v>166975</v>
      </c>
    </row>
    <row r="7262" spans="3:3">
      <c r="C7262">
        <v>166998</v>
      </c>
    </row>
    <row r="7263" spans="3:3">
      <c r="C7263">
        <v>167021</v>
      </c>
    </row>
    <row r="7264" spans="3:3">
      <c r="C7264">
        <v>167044</v>
      </c>
    </row>
    <row r="7265" spans="3:3">
      <c r="C7265">
        <v>167067</v>
      </c>
    </row>
    <row r="7266" spans="3:3">
      <c r="C7266">
        <v>167090</v>
      </c>
    </row>
    <row r="7267" spans="3:3">
      <c r="C7267">
        <v>167113</v>
      </c>
    </row>
    <row r="7268" spans="3:3">
      <c r="C7268">
        <v>167137</v>
      </c>
    </row>
    <row r="7269" spans="3:3">
      <c r="C7269">
        <v>167160</v>
      </c>
    </row>
    <row r="7270" spans="3:3">
      <c r="C7270">
        <v>167183</v>
      </c>
    </row>
    <row r="7271" spans="3:3">
      <c r="C7271">
        <v>167206</v>
      </c>
    </row>
    <row r="7272" spans="3:3">
      <c r="C7272">
        <v>167229</v>
      </c>
    </row>
    <row r="7273" spans="3:3">
      <c r="C7273">
        <v>167252</v>
      </c>
    </row>
    <row r="7274" spans="3:3">
      <c r="C7274">
        <v>167275</v>
      </c>
    </row>
    <row r="7275" spans="3:3">
      <c r="C7275">
        <v>167298</v>
      </c>
    </row>
    <row r="7276" spans="3:3">
      <c r="C7276">
        <v>167321</v>
      </c>
    </row>
    <row r="7277" spans="3:3">
      <c r="C7277">
        <v>167344</v>
      </c>
    </row>
    <row r="7278" spans="3:3">
      <c r="C7278">
        <v>167367</v>
      </c>
    </row>
    <row r="7279" spans="3:3">
      <c r="C7279">
        <v>167390</v>
      </c>
    </row>
    <row r="7280" spans="3:3">
      <c r="C7280">
        <v>167413</v>
      </c>
    </row>
    <row r="7281" spans="3:3">
      <c r="C7281">
        <v>167437</v>
      </c>
    </row>
    <row r="7282" spans="3:3">
      <c r="C7282">
        <v>167460</v>
      </c>
    </row>
    <row r="7283" spans="3:3">
      <c r="C7283">
        <v>167483</v>
      </c>
    </row>
    <row r="7284" spans="3:3">
      <c r="C7284">
        <v>167506</v>
      </c>
    </row>
    <row r="7285" spans="3:3">
      <c r="C7285">
        <v>167529</v>
      </c>
    </row>
    <row r="7286" spans="3:3">
      <c r="C7286">
        <v>167552</v>
      </c>
    </row>
    <row r="7287" spans="3:3">
      <c r="C7287">
        <v>167575</v>
      </c>
    </row>
    <row r="7288" spans="3:3">
      <c r="C7288">
        <v>167598</v>
      </c>
    </row>
    <row r="7289" spans="3:3">
      <c r="C7289">
        <v>167621</v>
      </c>
    </row>
    <row r="7290" spans="3:3">
      <c r="C7290">
        <v>167644</v>
      </c>
    </row>
    <row r="7291" spans="3:3">
      <c r="C7291">
        <v>167667</v>
      </c>
    </row>
    <row r="7292" spans="3:3">
      <c r="C7292">
        <v>167690</v>
      </c>
    </row>
    <row r="7293" spans="3:3">
      <c r="C7293">
        <v>167713</v>
      </c>
    </row>
    <row r="7294" spans="3:3">
      <c r="C7294">
        <v>167737</v>
      </c>
    </row>
    <row r="7295" spans="3:3">
      <c r="C7295">
        <v>167760</v>
      </c>
    </row>
    <row r="7296" spans="3:3">
      <c r="C7296">
        <v>167783</v>
      </c>
    </row>
    <row r="7297" spans="3:3">
      <c r="C7297">
        <v>167806</v>
      </c>
    </row>
    <row r="7298" spans="3:3">
      <c r="C7298">
        <v>167829</v>
      </c>
    </row>
    <row r="7299" spans="3:3">
      <c r="C7299">
        <v>167852</v>
      </c>
    </row>
    <row r="7300" spans="3:3">
      <c r="C7300">
        <v>167875</v>
      </c>
    </row>
    <row r="7301" spans="3:3">
      <c r="C7301">
        <v>167898</v>
      </c>
    </row>
    <row r="7302" spans="3:3">
      <c r="C7302">
        <v>167921</v>
      </c>
    </row>
    <row r="7303" spans="3:3">
      <c r="C7303">
        <v>167944</v>
      </c>
    </row>
    <row r="7304" spans="3:3">
      <c r="C7304">
        <v>167967</v>
      </c>
    </row>
    <row r="7305" spans="3:3">
      <c r="C7305">
        <v>167990</v>
      </c>
    </row>
    <row r="7306" spans="3:3">
      <c r="C7306">
        <v>168013</v>
      </c>
    </row>
    <row r="7307" spans="3:3">
      <c r="C7307">
        <v>168037</v>
      </c>
    </row>
    <row r="7308" spans="3:3">
      <c r="C7308">
        <v>168060</v>
      </c>
    </row>
    <row r="7309" spans="3:3">
      <c r="C7309">
        <v>168083</v>
      </c>
    </row>
    <row r="7310" spans="3:3">
      <c r="C7310">
        <v>168106</v>
      </c>
    </row>
    <row r="7311" spans="3:3">
      <c r="C7311">
        <v>168129</v>
      </c>
    </row>
    <row r="7312" spans="3:3">
      <c r="C7312">
        <v>168152</v>
      </c>
    </row>
    <row r="7313" spans="3:3">
      <c r="C7313">
        <v>168175</v>
      </c>
    </row>
    <row r="7314" spans="3:3">
      <c r="C7314">
        <v>168198</v>
      </c>
    </row>
    <row r="7315" spans="3:3">
      <c r="C7315">
        <v>168221</v>
      </c>
    </row>
    <row r="7316" spans="3:3">
      <c r="C7316">
        <v>168244</v>
      </c>
    </row>
    <row r="7317" spans="3:3">
      <c r="C7317">
        <v>168267</v>
      </c>
    </row>
    <row r="7318" spans="3:3">
      <c r="C7318">
        <v>168290</v>
      </c>
    </row>
    <row r="7319" spans="3:3">
      <c r="C7319">
        <v>168313</v>
      </c>
    </row>
    <row r="7320" spans="3:3">
      <c r="C7320">
        <v>168337</v>
      </c>
    </row>
    <row r="7321" spans="3:3">
      <c r="C7321">
        <v>168360</v>
      </c>
    </row>
    <row r="7322" spans="3:3">
      <c r="C7322">
        <v>168383</v>
      </c>
    </row>
    <row r="7323" spans="3:3">
      <c r="C7323">
        <v>168406</v>
      </c>
    </row>
    <row r="7324" spans="3:3">
      <c r="C7324">
        <v>168429</v>
      </c>
    </row>
    <row r="7325" spans="3:3">
      <c r="C7325">
        <v>168452</v>
      </c>
    </row>
    <row r="7326" spans="3:3">
      <c r="C7326">
        <v>168475</v>
      </c>
    </row>
    <row r="7327" spans="3:3">
      <c r="C7327">
        <v>168498</v>
      </c>
    </row>
    <row r="7328" spans="3:3">
      <c r="C7328">
        <v>168521</v>
      </c>
    </row>
    <row r="7329" spans="3:3">
      <c r="C7329">
        <v>168544</v>
      </c>
    </row>
    <row r="7330" spans="3:3">
      <c r="C7330">
        <v>168567</v>
      </c>
    </row>
    <row r="7331" spans="3:3">
      <c r="C7331">
        <v>168590</v>
      </c>
    </row>
    <row r="7332" spans="3:3">
      <c r="C7332">
        <v>168613</v>
      </c>
    </row>
    <row r="7333" spans="3:3">
      <c r="C7333">
        <v>168637</v>
      </c>
    </row>
    <row r="7334" spans="3:3">
      <c r="C7334">
        <v>168660</v>
      </c>
    </row>
    <row r="7335" spans="3:3">
      <c r="C7335">
        <v>168683</v>
      </c>
    </row>
    <row r="7336" spans="3:3">
      <c r="C7336">
        <v>168706</v>
      </c>
    </row>
    <row r="7337" spans="3:3">
      <c r="C7337">
        <v>168729</v>
      </c>
    </row>
    <row r="7338" spans="3:3">
      <c r="C7338">
        <v>168752</v>
      </c>
    </row>
    <row r="7339" spans="3:3">
      <c r="C7339">
        <v>168775</v>
      </c>
    </row>
    <row r="7340" spans="3:3">
      <c r="C7340">
        <v>168798</v>
      </c>
    </row>
    <row r="7341" spans="3:3">
      <c r="C7341">
        <v>168821</v>
      </c>
    </row>
    <row r="7342" spans="3:3">
      <c r="C7342">
        <v>168844</v>
      </c>
    </row>
    <row r="7343" spans="3:3">
      <c r="C7343">
        <v>168867</v>
      </c>
    </row>
    <row r="7344" spans="3:3">
      <c r="C7344">
        <v>168890</v>
      </c>
    </row>
    <row r="7345" spans="3:3">
      <c r="C7345">
        <v>168913</v>
      </c>
    </row>
    <row r="7346" spans="3:3">
      <c r="C7346">
        <v>168937</v>
      </c>
    </row>
    <row r="7347" spans="3:3">
      <c r="C7347">
        <v>168960</v>
      </c>
    </row>
    <row r="7348" spans="3:3">
      <c r="C7348">
        <v>168983</v>
      </c>
    </row>
    <row r="7349" spans="3:3">
      <c r="C7349">
        <v>169006</v>
      </c>
    </row>
    <row r="7350" spans="3:3">
      <c r="C7350">
        <v>169029</v>
      </c>
    </row>
    <row r="7351" spans="3:3">
      <c r="C7351">
        <v>169052</v>
      </c>
    </row>
    <row r="7352" spans="3:3">
      <c r="C7352">
        <v>169075</v>
      </c>
    </row>
    <row r="7353" spans="3:3">
      <c r="C7353">
        <v>169098</v>
      </c>
    </row>
    <row r="7354" spans="3:3">
      <c r="C7354">
        <v>169121</v>
      </c>
    </row>
    <row r="7355" spans="3:3">
      <c r="C7355">
        <v>169144</v>
      </c>
    </row>
    <row r="7356" spans="3:3">
      <c r="C7356">
        <v>169167</v>
      </c>
    </row>
    <row r="7357" spans="3:3">
      <c r="C7357">
        <v>169190</v>
      </c>
    </row>
    <row r="7358" spans="3:3">
      <c r="C7358">
        <v>169213</v>
      </c>
    </row>
    <row r="7359" spans="3:3">
      <c r="C7359">
        <v>169237</v>
      </c>
    </row>
    <row r="7360" spans="3:3">
      <c r="C7360">
        <v>169260</v>
      </c>
    </row>
    <row r="7361" spans="3:3">
      <c r="C7361">
        <v>169283</v>
      </c>
    </row>
    <row r="7362" spans="3:3">
      <c r="C7362">
        <v>169306</v>
      </c>
    </row>
    <row r="7363" spans="3:3">
      <c r="C7363">
        <v>169329</v>
      </c>
    </row>
    <row r="7364" spans="3:3">
      <c r="C7364">
        <v>169352</v>
      </c>
    </row>
    <row r="7365" spans="3:3">
      <c r="C7365">
        <v>169375</v>
      </c>
    </row>
    <row r="7366" spans="3:3">
      <c r="C7366">
        <v>169398</v>
      </c>
    </row>
    <row r="7367" spans="3:3">
      <c r="C7367">
        <v>169421</v>
      </c>
    </row>
    <row r="7368" spans="3:3">
      <c r="C7368">
        <v>169444</v>
      </c>
    </row>
    <row r="7369" spans="3:3">
      <c r="C7369">
        <v>169467</v>
      </c>
    </row>
    <row r="7370" spans="3:3">
      <c r="C7370">
        <v>169490</v>
      </c>
    </row>
    <row r="7371" spans="3:3">
      <c r="C7371">
        <v>169513</v>
      </c>
    </row>
    <row r="7372" spans="3:3">
      <c r="C7372">
        <v>169537</v>
      </c>
    </row>
    <row r="7373" spans="3:3">
      <c r="C7373">
        <v>169560</v>
      </c>
    </row>
    <row r="7374" spans="3:3">
      <c r="C7374">
        <v>169583</v>
      </c>
    </row>
    <row r="7375" spans="3:3">
      <c r="C7375">
        <v>169606</v>
      </c>
    </row>
    <row r="7376" spans="3:3">
      <c r="C7376">
        <v>169629</v>
      </c>
    </row>
    <row r="7377" spans="3:3">
      <c r="C7377">
        <v>169652</v>
      </c>
    </row>
    <row r="7378" spans="3:3">
      <c r="C7378">
        <v>169675</v>
      </c>
    </row>
    <row r="7379" spans="3:3">
      <c r="C7379">
        <v>169698</v>
      </c>
    </row>
    <row r="7380" spans="3:3">
      <c r="C7380">
        <v>169721</v>
      </c>
    </row>
    <row r="7381" spans="3:3">
      <c r="C7381">
        <v>169744</v>
      </c>
    </row>
    <row r="7382" spans="3:3">
      <c r="C7382">
        <v>169767</v>
      </c>
    </row>
    <row r="7383" spans="3:3">
      <c r="C7383">
        <v>169790</v>
      </c>
    </row>
    <row r="7384" spans="3:3">
      <c r="C7384">
        <v>169813</v>
      </c>
    </row>
    <row r="7385" spans="3:3">
      <c r="C7385">
        <v>169837</v>
      </c>
    </row>
    <row r="7386" spans="3:3">
      <c r="C7386">
        <v>169860</v>
      </c>
    </row>
    <row r="7387" spans="3:3">
      <c r="C7387">
        <v>169883</v>
      </c>
    </row>
    <row r="7388" spans="3:3">
      <c r="C7388">
        <v>169906</v>
      </c>
    </row>
    <row r="7389" spans="3:3">
      <c r="C7389">
        <v>169929</v>
      </c>
    </row>
    <row r="7390" spans="3:3">
      <c r="C7390">
        <v>169952</v>
      </c>
    </row>
    <row r="7391" spans="3:3">
      <c r="C7391">
        <v>169975</v>
      </c>
    </row>
    <row r="7392" spans="3:3">
      <c r="C7392">
        <v>169998</v>
      </c>
    </row>
    <row r="7393" spans="3:3">
      <c r="C7393">
        <v>170021</v>
      </c>
    </row>
    <row r="7394" spans="3:3">
      <c r="C7394">
        <v>170044</v>
      </c>
    </row>
    <row r="7395" spans="3:3">
      <c r="C7395">
        <v>170067</v>
      </c>
    </row>
    <row r="7396" spans="3:3">
      <c r="C7396">
        <v>170090</v>
      </c>
    </row>
    <row r="7397" spans="3:3">
      <c r="C7397">
        <v>170113</v>
      </c>
    </row>
    <row r="7398" spans="3:3">
      <c r="C7398">
        <v>170137</v>
      </c>
    </row>
    <row r="7399" spans="3:3">
      <c r="C7399">
        <v>170160</v>
      </c>
    </row>
    <row r="7400" spans="3:3">
      <c r="C7400">
        <v>170183</v>
      </c>
    </row>
    <row r="7401" spans="3:3">
      <c r="C7401">
        <v>170206</v>
      </c>
    </row>
    <row r="7402" spans="3:3">
      <c r="C7402">
        <v>170229</v>
      </c>
    </row>
    <row r="7403" spans="3:3">
      <c r="C7403">
        <v>170252</v>
      </c>
    </row>
    <row r="7404" spans="3:3">
      <c r="C7404">
        <v>170275</v>
      </c>
    </row>
    <row r="7405" spans="3:3">
      <c r="C7405">
        <v>170298</v>
      </c>
    </row>
    <row r="7406" spans="3:3">
      <c r="C7406">
        <v>170321</v>
      </c>
    </row>
    <row r="7407" spans="3:3">
      <c r="C7407">
        <v>170344</v>
      </c>
    </row>
    <row r="7408" spans="3:3">
      <c r="C7408">
        <v>170367</v>
      </c>
    </row>
    <row r="7409" spans="3:3">
      <c r="C7409">
        <v>170390</v>
      </c>
    </row>
    <row r="7410" spans="3:3">
      <c r="C7410">
        <v>170413</v>
      </c>
    </row>
    <row r="7411" spans="3:3">
      <c r="C7411">
        <v>170437</v>
      </c>
    </row>
    <row r="7412" spans="3:3">
      <c r="C7412">
        <v>170460</v>
      </c>
    </row>
    <row r="7413" spans="3:3">
      <c r="C7413">
        <v>170483</v>
      </c>
    </row>
    <row r="7414" spans="3:3">
      <c r="C7414">
        <v>170506</v>
      </c>
    </row>
    <row r="7415" spans="3:3">
      <c r="C7415">
        <v>170529</v>
      </c>
    </row>
    <row r="7416" spans="3:3">
      <c r="C7416">
        <v>170552</v>
      </c>
    </row>
    <row r="7417" spans="3:3">
      <c r="C7417">
        <v>170575</v>
      </c>
    </row>
    <row r="7418" spans="3:3">
      <c r="C7418">
        <v>170598</v>
      </c>
    </row>
    <row r="7419" spans="3:3">
      <c r="C7419">
        <v>170621</v>
      </c>
    </row>
    <row r="7420" spans="3:3">
      <c r="C7420">
        <v>170644</v>
      </c>
    </row>
    <row r="7421" spans="3:3">
      <c r="C7421">
        <v>170667</v>
      </c>
    </row>
    <row r="7422" spans="3:3">
      <c r="C7422">
        <v>170690</v>
      </c>
    </row>
    <row r="7423" spans="3:3">
      <c r="C7423">
        <v>170713</v>
      </c>
    </row>
    <row r="7424" spans="3:3">
      <c r="C7424">
        <v>170737</v>
      </c>
    </row>
    <row r="7425" spans="3:3">
      <c r="C7425">
        <v>170760</v>
      </c>
    </row>
    <row r="7426" spans="3:3">
      <c r="C7426">
        <v>170783</v>
      </c>
    </row>
    <row r="7427" spans="3:3">
      <c r="C7427">
        <v>170806</v>
      </c>
    </row>
    <row r="7428" spans="3:3">
      <c r="C7428">
        <v>170829</v>
      </c>
    </row>
    <row r="7429" spans="3:3">
      <c r="C7429">
        <v>170852</v>
      </c>
    </row>
    <row r="7430" spans="3:3">
      <c r="C7430">
        <v>170875</v>
      </c>
    </row>
    <row r="7431" spans="3:3">
      <c r="C7431">
        <v>170898</v>
      </c>
    </row>
    <row r="7432" spans="3:3">
      <c r="C7432">
        <v>170921</v>
      </c>
    </row>
    <row r="7433" spans="3:3">
      <c r="C7433">
        <v>170944</v>
      </c>
    </row>
    <row r="7434" spans="3:3">
      <c r="C7434">
        <v>170967</v>
      </c>
    </row>
    <row r="7435" spans="3:3">
      <c r="C7435">
        <v>170990</v>
      </c>
    </row>
    <row r="7436" spans="3:3">
      <c r="C7436">
        <v>171013</v>
      </c>
    </row>
    <row r="7437" spans="3:3">
      <c r="C7437">
        <v>171037</v>
      </c>
    </row>
    <row r="7438" spans="3:3">
      <c r="C7438">
        <v>171060</v>
      </c>
    </row>
    <row r="7439" spans="3:3">
      <c r="C7439">
        <v>171083</v>
      </c>
    </row>
    <row r="7440" spans="3:3">
      <c r="C7440">
        <v>171106</v>
      </c>
    </row>
    <row r="7441" spans="3:3">
      <c r="C7441">
        <v>171129</v>
      </c>
    </row>
    <row r="7442" spans="3:3">
      <c r="C7442">
        <v>171152</v>
      </c>
    </row>
    <row r="7443" spans="3:3">
      <c r="C7443">
        <v>171175</v>
      </c>
    </row>
    <row r="7444" spans="3:3">
      <c r="C7444">
        <v>171198</v>
      </c>
    </row>
    <row r="7445" spans="3:3">
      <c r="C7445">
        <v>171221</v>
      </c>
    </row>
    <row r="7446" spans="3:3">
      <c r="C7446">
        <v>171244</v>
      </c>
    </row>
    <row r="7447" spans="3:3">
      <c r="C7447">
        <v>171267</v>
      </c>
    </row>
    <row r="7448" spans="3:3">
      <c r="C7448">
        <v>171290</v>
      </c>
    </row>
    <row r="7449" spans="3:3">
      <c r="C7449">
        <v>171313</v>
      </c>
    </row>
    <row r="7450" spans="3:3">
      <c r="C7450">
        <v>171337</v>
      </c>
    </row>
    <row r="7451" spans="3:3">
      <c r="C7451">
        <v>171360</v>
      </c>
    </row>
    <row r="7452" spans="3:3">
      <c r="C7452">
        <v>171383</v>
      </c>
    </row>
    <row r="7453" spans="3:3">
      <c r="C7453">
        <v>171406</v>
      </c>
    </row>
    <row r="7454" spans="3:3">
      <c r="C7454">
        <v>171429</v>
      </c>
    </row>
    <row r="7455" spans="3:3">
      <c r="C7455">
        <v>171452</v>
      </c>
    </row>
    <row r="7456" spans="3:3">
      <c r="C7456">
        <v>171475</v>
      </c>
    </row>
    <row r="7457" spans="3:3">
      <c r="C7457">
        <v>171498</v>
      </c>
    </row>
    <row r="7458" spans="3:3">
      <c r="C7458">
        <v>171521</v>
      </c>
    </row>
    <row r="7459" spans="3:3">
      <c r="C7459">
        <v>171544</v>
      </c>
    </row>
    <row r="7460" spans="3:3">
      <c r="C7460">
        <v>171567</v>
      </c>
    </row>
    <row r="7461" spans="3:3">
      <c r="C7461">
        <v>171590</v>
      </c>
    </row>
    <row r="7462" spans="3:3">
      <c r="C7462">
        <v>171613</v>
      </c>
    </row>
    <row r="7463" spans="3:3">
      <c r="C7463">
        <v>171637</v>
      </c>
    </row>
    <row r="7464" spans="3:3">
      <c r="C7464">
        <v>171660</v>
      </c>
    </row>
    <row r="7465" spans="3:3">
      <c r="C7465">
        <v>171683</v>
      </c>
    </row>
    <row r="7466" spans="3:3">
      <c r="C7466">
        <v>171706</v>
      </c>
    </row>
    <row r="7467" spans="3:3">
      <c r="C7467">
        <v>171729</v>
      </c>
    </row>
    <row r="7468" spans="3:3">
      <c r="C7468">
        <v>171752</v>
      </c>
    </row>
    <row r="7469" spans="3:3">
      <c r="C7469">
        <v>171775</v>
      </c>
    </row>
    <row r="7470" spans="3:3">
      <c r="C7470">
        <v>171798</v>
      </c>
    </row>
    <row r="7471" spans="3:3">
      <c r="C7471">
        <v>171821</v>
      </c>
    </row>
    <row r="7472" spans="3:3">
      <c r="C7472">
        <v>171844</v>
      </c>
    </row>
    <row r="7473" spans="3:3">
      <c r="C7473">
        <v>171867</v>
      </c>
    </row>
    <row r="7474" spans="3:3">
      <c r="C7474">
        <v>171890</v>
      </c>
    </row>
    <row r="7475" spans="3:3">
      <c r="C7475">
        <v>171913</v>
      </c>
    </row>
    <row r="7476" spans="3:3">
      <c r="C7476">
        <v>171937</v>
      </c>
    </row>
    <row r="7477" spans="3:3">
      <c r="C7477">
        <v>171960</v>
      </c>
    </row>
    <row r="7478" spans="3:3">
      <c r="C7478">
        <v>171983</v>
      </c>
    </row>
    <row r="7479" spans="3:3">
      <c r="C7479">
        <v>172006</v>
      </c>
    </row>
    <row r="7480" spans="3:3">
      <c r="C7480">
        <v>172029</v>
      </c>
    </row>
    <row r="7481" spans="3:3">
      <c r="C7481">
        <v>172052</v>
      </c>
    </row>
    <row r="7482" spans="3:3">
      <c r="C7482">
        <v>172075</v>
      </c>
    </row>
    <row r="7483" spans="3:3">
      <c r="C7483">
        <v>172098</v>
      </c>
    </row>
    <row r="7484" spans="3:3">
      <c r="C7484">
        <v>172121</v>
      </c>
    </row>
    <row r="7485" spans="3:3">
      <c r="C7485">
        <v>172144</v>
      </c>
    </row>
    <row r="7486" spans="3:3">
      <c r="C7486">
        <v>172167</v>
      </c>
    </row>
    <row r="7487" spans="3:3">
      <c r="C7487">
        <v>172190</v>
      </c>
    </row>
    <row r="7488" spans="3:3">
      <c r="C7488">
        <v>172213</v>
      </c>
    </row>
    <row r="7489" spans="3:3">
      <c r="C7489">
        <v>172237</v>
      </c>
    </row>
    <row r="7490" spans="3:3">
      <c r="C7490">
        <v>172260</v>
      </c>
    </row>
    <row r="7491" spans="3:3">
      <c r="C7491">
        <v>172283</v>
      </c>
    </row>
    <row r="7492" spans="3:3">
      <c r="C7492">
        <v>172306</v>
      </c>
    </row>
    <row r="7493" spans="3:3">
      <c r="C7493">
        <v>172329</v>
      </c>
    </row>
    <row r="7494" spans="3:3">
      <c r="C7494">
        <v>172352</v>
      </c>
    </row>
    <row r="7495" spans="3:3">
      <c r="C7495">
        <v>172375</v>
      </c>
    </row>
    <row r="7496" spans="3:3">
      <c r="C7496">
        <v>172398</v>
      </c>
    </row>
    <row r="7497" spans="3:3">
      <c r="C7497">
        <v>172421</v>
      </c>
    </row>
    <row r="7498" spans="3:3">
      <c r="C7498">
        <v>172444</v>
      </c>
    </row>
    <row r="7499" spans="3:3">
      <c r="C7499">
        <v>172467</v>
      </c>
    </row>
    <row r="7500" spans="3:3">
      <c r="C7500">
        <v>172490</v>
      </c>
    </row>
    <row r="7501" spans="3:3">
      <c r="C7501">
        <v>172513</v>
      </c>
    </row>
    <row r="7502" spans="3:3">
      <c r="C7502">
        <v>172537</v>
      </c>
    </row>
    <row r="7503" spans="3:3">
      <c r="C7503">
        <v>172560</v>
      </c>
    </row>
    <row r="7504" spans="3:3">
      <c r="C7504">
        <v>172583</v>
      </c>
    </row>
    <row r="7505" spans="3:3">
      <c r="C7505">
        <v>172606</v>
      </c>
    </row>
    <row r="7506" spans="3:3">
      <c r="C7506">
        <v>172629</v>
      </c>
    </row>
    <row r="7507" spans="3:3">
      <c r="C7507">
        <v>172652</v>
      </c>
    </row>
    <row r="7508" spans="3:3">
      <c r="C7508">
        <v>172675</v>
      </c>
    </row>
    <row r="7509" spans="3:3">
      <c r="C7509">
        <v>172698</v>
      </c>
    </row>
    <row r="7510" spans="3:3">
      <c r="C7510">
        <v>172721</v>
      </c>
    </row>
    <row r="7511" spans="3:3">
      <c r="C7511">
        <v>172744</v>
      </c>
    </row>
    <row r="7512" spans="3:3">
      <c r="C7512">
        <v>172767</v>
      </c>
    </row>
    <row r="7513" spans="3:3">
      <c r="C7513">
        <v>172790</v>
      </c>
    </row>
    <row r="7514" spans="3:3">
      <c r="C7514">
        <v>172813</v>
      </c>
    </row>
    <row r="7515" spans="3:3">
      <c r="C7515">
        <v>172837</v>
      </c>
    </row>
    <row r="7516" spans="3:3">
      <c r="C7516">
        <v>172860</v>
      </c>
    </row>
    <row r="7517" spans="3:3">
      <c r="C7517">
        <v>172883</v>
      </c>
    </row>
    <row r="7518" spans="3:3">
      <c r="C7518">
        <v>172906</v>
      </c>
    </row>
    <row r="7519" spans="3:3">
      <c r="C7519">
        <v>172929</v>
      </c>
    </row>
    <row r="7520" spans="3:3">
      <c r="C7520">
        <v>172952</v>
      </c>
    </row>
    <row r="7521" spans="3:3">
      <c r="C7521">
        <v>172975</v>
      </c>
    </row>
    <row r="7522" spans="3:3">
      <c r="C7522">
        <v>172998</v>
      </c>
    </row>
    <row r="7523" spans="3:3">
      <c r="C7523">
        <v>173021</v>
      </c>
    </row>
    <row r="7524" spans="3:3">
      <c r="C7524">
        <v>173044</v>
      </c>
    </row>
    <row r="7525" spans="3:3">
      <c r="C7525">
        <v>173067</v>
      </c>
    </row>
    <row r="7526" spans="3:3">
      <c r="C7526">
        <v>173090</v>
      </c>
    </row>
    <row r="7527" spans="3:3">
      <c r="C7527">
        <v>173113</v>
      </c>
    </row>
    <row r="7528" spans="3:3">
      <c r="C7528">
        <v>173137</v>
      </c>
    </row>
    <row r="7529" spans="3:3">
      <c r="C7529">
        <v>173160</v>
      </c>
    </row>
    <row r="7530" spans="3:3">
      <c r="C7530">
        <v>173183</v>
      </c>
    </row>
    <row r="7531" spans="3:3">
      <c r="C7531">
        <v>173206</v>
      </c>
    </row>
    <row r="7532" spans="3:3">
      <c r="C7532">
        <v>173229</v>
      </c>
    </row>
    <row r="7533" spans="3:3">
      <c r="C7533">
        <v>173252</v>
      </c>
    </row>
    <row r="7534" spans="3:3">
      <c r="C7534">
        <v>173275</v>
      </c>
    </row>
    <row r="7535" spans="3:3">
      <c r="C7535">
        <v>173298</v>
      </c>
    </row>
    <row r="7536" spans="3:3">
      <c r="C7536">
        <v>173321</v>
      </c>
    </row>
    <row r="7537" spans="3:3">
      <c r="C7537">
        <v>173344</v>
      </c>
    </row>
    <row r="7538" spans="3:3">
      <c r="C7538">
        <v>173367</v>
      </c>
    </row>
    <row r="7539" spans="3:3">
      <c r="C7539">
        <v>173390</v>
      </c>
    </row>
    <row r="7540" spans="3:3">
      <c r="C7540">
        <v>173413</v>
      </c>
    </row>
    <row r="7541" spans="3:3">
      <c r="C7541">
        <v>173437</v>
      </c>
    </row>
    <row r="7542" spans="3:3">
      <c r="C7542">
        <v>173460</v>
      </c>
    </row>
    <row r="7543" spans="3:3">
      <c r="C7543">
        <v>173483</v>
      </c>
    </row>
    <row r="7544" spans="3:3">
      <c r="C7544">
        <v>173506</v>
      </c>
    </row>
    <row r="7545" spans="3:3">
      <c r="C7545">
        <v>173529</v>
      </c>
    </row>
    <row r="7546" spans="3:3">
      <c r="C7546">
        <v>173552</v>
      </c>
    </row>
    <row r="7547" spans="3:3">
      <c r="C7547">
        <v>173575</v>
      </c>
    </row>
    <row r="7548" spans="3:3">
      <c r="C7548">
        <v>173598</v>
      </c>
    </row>
    <row r="7549" spans="3:3">
      <c r="C7549">
        <v>173621</v>
      </c>
    </row>
    <row r="7550" spans="3:3">
      <c r="C7550">
        <v>173644</v>
      </c>
    </row>
    <row r="7551" spans="3:3">
      <c r="C7551">
        <v>173667</v>
      </c>
    </row>
    <row r="7552" spans="3:3">
      <c r="C7552">
        <v>173690</v>
      </c>
    </row>
    <row r="7553" spans="3:3">
      <c r="C7553">
        <v>173713</v>
      </c>
    </row>
    <row r="7554" spans="3:3">
      <c r="C7554">
        <v>173737</v>
      </c>
    </row>
    <row r="7555" spans="3:3">
      <c r="C7555">
        <v>173760</v>
      </c>
    </row>
    <row r="7556" spans="3:3">
      <c r="C7556">
        <v>173783</v>
      </c>
    </row>
    <row r="7557" spans="3:3">
      <c r="C7557">
        <v>173806</v>
      </c>
    </row>
    <row r="7558" spans="3:3">
      <c r="C7558">
        <v>173829</v>
      </c>
    </row>
    <row r="7559" spans="3:3">
      <c r="C7559">
        <v>173852</v>
      </c>
    </row>
    <row r="7560" spans="3:3">
      <c r="C7560">
        <v>173875</v>
      </c>
    </row>
    <row r="7561" spans="3:3">
      <c r="C7561">
        <v>173898</v>
      </c>
    </row>
    <row r="7562" spans="3:3">
      <c r="C7562">
        <v>173921</v>
      </c>
    </row>
    <row r="7563" spans="3:3">
      <c r="C7563">
        <v>173944</v>
      </c>
    </row>
    <row r="7564" spans="3:3">
      <c r="C7564">
        <v>173967</v>
      </c>
    </row>
    <row r="7565" spans="3:3">
      <c r="C7565">
        <v>173990</v>
      </c>
    </row>
    <row r="7566" spans="3:3">
      <c r="C7566">
        <v>174013</v>
      </c>
    </row>
    <row r="7567" spans="3:3">
      <c r="C7567">
        <v>174037</v>
      </c>
    </row>
    <row r="7568" spans="3:3">
      <c r="C7568">
        <v>174060</v>
      </c>
    </row>
    <row r="7569" spans="3:3">
      <c r="C7569">
        <v>174083</v>
      </c>
    </row>
    <row r="7570" spans="3:3">
      <c r="C7570">
        <v>174106</v>
      </c>
    </row>
    <row r="7571" spans="3:3">
      <c r="C7571">
        <v>174129</v>
      </c>
    </row>
    <row r="7572" spans="3:3">
      <c r="C7572">
        <v>174152</v>
      </c>
    </row>
    <row r="7573" spans="3:3">
      <c r="C7573">
        <v>174175</v>
      </c>
    </row>
    <row r="7574" spans="3:3">
      <c r="C7574">
        <v>174198</v>
      </c>
    </row>
    <row r="7575" spans="3:3">
      <c r="C7575">
        <v>174221</v>
      </c>
    </row>
    <row r="7576" spans="3:3">
      <c r="C7576">
        <v>174244</v>
      </c>
    </row>
    <row r="7577" spans="3:3">
      <c r="C7577">
        <v>174267</v>
      </c>
    </row>
    <row r="7578" spans="3:3">
      <c r="C7578">
        <v>174290</v>
      </c>
    </row>
    <row r="7579" spans="3:3">
      <c r="C7579">
        <v>174313</v>
      </c>
    </row>
    <row r="7580" spans="3:3">
      <c r="C7580">
        <v>174337</v>
      </c>
    </row>
    <row r="7581" spans="3:3">
      <c r="C7581">
        <v>174360</v>
      </c>
    </row>
    <row r="7582" spans="3:3">
      <c r="C7582">
        <v>174383</v>
      </c>
    </row>
    <row r="7583" spans="3:3">
      <c r="C7583">
        <v>174406</v>
      </c>
    </row>
    <row r="7584" spans="3:3">
      <c r="C7584">
        <v>174429</v>
      </c>
    </row>
    <row r="7585" spans="3:3">
      <c r="C7585">
        <v>174452</v>
      </c>
    </row>
    <row r="7586" spans="3:3">
      <c r="C7586">
        <v>174475</v>
      </c>
    </row>
    <row r="7587" spans="3:3">
      <c r="C7587">
        <v>174498</v>
      </c>
    </row>
    <row r="7588" spans="3:3">
      <c r="C7588">
        <v>174521</v>
      </c>
    </row>
    <row r="7589" spans="3:3">
      <c r="C7589">
        <v>174544</v>
      </c>
    </row>
    <row r="7590" spans="3:3">
      <c r="C7590">
        <v>174567</v>
      </c>
    </row>
    <row r="7591" spans="3:3">
      <c r="C7591">
        <v>174590</v>
      </c>
    </row>
    <row r="7592" spans="3:3">
      <c r="C7592">
        <v>174613</v>
      </c>
    </row>
    <row r="7593" spans="3:3">
      <c r="C7593">
        <v>174637</v>
      </c>
    </row>
    <row r="7594" spans="3:3">
      <c r="C7594">
        <v>174660</v>
      </c>
    </row>
    <row r="7595" spans="3:3">
      <c r="C7595">
        <v>174683</v>
      </c>
    </row>
    <row r="7596" spans="3:3">
      <c r="C7596">
        <v>174706</v>
      </c>
    </row>
    <row r="7597" spans="3:3">
      <c r="C7597">
        <v>174729</v>
      </c>
    </row>
    <row r="7598" spans="3:3">
      <c r="C7598">
        <v>174752</v>
      </c>
    </row>
    <row r="7599" spans="3:3">
      <c r="C7599">
        <v>174775</v>
      </c>
    </row>
    <row r="7600" spans="3:3">
      <c r="C7600">
        <v>174798</v>
      </c>
    </row>
    <row r="7601" spans="3:3">
      <c r="C7601">
        <v>174821</v>
      </c>
    </row>
    <row r="7602" spans="3:3">
      <c r="C7602">
        <v>174844</v>
      </c>
    </row>
    <row r="7603" spans="3:3">
      <c r="C7603">
        <v>174867</v>
      </c>
    </row>
    <row r="7604" spans="3:3">
      <c r="C7604">
        <v>174890</v>
      </c>
    </row>
    <row r="7605" spans="3:3">
      <c r="C7605">
        <v>174913</v>
      </c>
    </row>
    <row r="7606" spans="3:3">
      <c r="C7606">
        <v>174937</v>
      </c>
    </row>
    <row r="7607" spans="3:3">
      <c r="C7607">
        <v>174960</v>
      </c>
    </row>
    <row r="7608" spans="3:3">
      <c r="C7608">
        <v>174983</v>
      </c>
    </row>
    <row r="7609" spans="3:3">
      <c r="C7609">
        <v>175006</v>
      </c>
    </row>
    <row r="7610" spans="3:3">
      <c r="C7610">
        <v>175029</v>
      </c>
    </row>
    <row r="7611" spans="3:3">
      <c r="C7611">
        <v>175052</v>
      </c>
    </row>
    <row r="7612" spans="3:3">
      <c r="C7612">
        <v>175075</v>
      </c>
    </row>
    <row r="7613" spans="3:3">
      <c r="C7613">
        <v>175098</v>
      </c>
    </row>
    <row r="7614" spans="3:3">
      <c r="C7614">
        <v>175121</v>
      </c>
    </row>
    <row r="7615" spans="3:3">
      <c r="C7615">
        <v>175144</v>
      </c>
    </row>
    <row r="7616" spans="3:3">
      <c r="C7616">
        <v>175167</v>
      </c>
    </row>
    <row r="7617" spans="3:3">
      <c r="C7617">
        <v>175190</v>
      </c>
    </row>
    <row r="7618" spans="3:3">
      <c r="C7618">
        <v>175213</v>
      </c>
    </row>
    <row r="7619" spans="3:3">
      <c r="C7619">
        <v>175237</v>
      </c>
    </row>
    <row r="7620" spans="3:3">
      <c r="C7620">
        <v>175260</v>
      </c>
    </row>
    <row r="7621" spans="3:3">
      <c r="C7621">
        <v>175283</v>
      </c>
    </row>
    <row r="7622" spans="3:3">
      <c r="C7622">
        <v>175306</v>
      </c>
    </row>
    <row r="7623" spans="3:3">
      <c r="C7623">
        <v>175329</v>
      </c>
    </row>
    <row r="7624" spans="3:3">
      <c r="C7624">
        <v>175352</v>
      </c>
    </row>
    <row r="7625" spans="3:3">
      <c r="C7625">
        <v>175375</v>
      </c>
    </row>
    <row r="7626" spans="3:3">
      <c r="C7626">
        <v>175398</v>
      </c>
    </row>
    <row r="7627" spans="3:3">
      <c r="C7627">
        <v>175421</v>
      </c>
    </row>
    <row r="7628" spans="3:3">
      <c r="C7628">
        <v>175444</v>
      </c>
    </row>
    <row r="7629" spans="3:3">
      <c r="C7629">
        <v>175467</v>
      </c>
    </row>
    <row r="7630" spans="3:3">
      <c r="C7630">
        <v>175490</v>
      </c>
    </row>
    <row r="7631" spans="3:3">
      <c r="C7631">
        <v>175513</v>
      </c>
    </row>
    <row r="7632" spans="3:3">
      <c r="C7632">
        <v>175537</v>
      </c>
    </row>
    <row r="7633" spans="3:3">
      <c r="C7633">
        <v>175560</v>
      </c>
    </row>
    <row r="7634" spans="3:3">
      <c r="C7634">
        <v>175583</v>
      </c>
    </row>
    <row r="7635" spans="3:3">
      <c r="C7635">
        <v>175606</v>
      </c>
    </row>
    <row r="7636" spans="3:3">
      <c r="C7636">
        <v>175629</v>
      </c>
    </row>
    <row r="7637" spans="3:3">
      <c r="C7637">
        <v>175652</v>
      </c>
    </row>
    <row r="7638" spans="3:3">
      <c r="C7638">
        <v>175675</v>
      </c>
    </row>
    <row r="7639" spans="3:3">
      <c r="C7639">
        <v>175698</v>
      </c>
    </row>
    <row r="7640" spans="3:3">
      <c r="C7640">
        <v>175721</v>
      </c>
    </row>
    <row r="7641" spans="3:3">
      <c r="C7641">
        <v>175744</v>
      </c>
    </row>
    <row r="7642" spans="3:3">
      <c r="C7642">
        <v>175767</v>
      </c>
    </row>
    <row r="7643" spans="3:3">
      <c r="C7643">
        <v>175790</v>
      </c>
    </row>
    <row r="7644" spans="3:3">
      <c r="C7644">
        <v>175813</v>
      </c>
    </row>
    <row r="7645" spans="3:3">
      <c r="C7645">
        <v>175837</v>
      </c>
    </row>
    <row r="7646" spans="3:3">
      <c r="C7646">
        <v>175860</v>
      </c>
    </row>
    <row r="7647" spans="3:3">
      <c r="C7647">
        <v>175883</v>
      </c>
    </row>
    <row r="7648" spans="3:3">
      <c r="C7648">
        <v>175906</v>
      </c>
    </row>
    <row r="7649" spans="3:3">
      <c r="C7649">
        <v>175929</v>
      </c>
    </row>
    <row r="7650" spans="3:3">
      <c r="C7650">
        <v>175952</v>
      </c>
    </row>
    <row r="7651" spans="3:3">
      <c r="C7651">
        <v>175975</v>
      </c>
    </row>
    <row r="7652" spans="3:3">
      <c r="C7652">
        <v>175998</v>
      </c>
    </row>
    <row r="7653" spans="3:3">
      <c r="C7653">
        <v>176021</v>
      </c>
    </row>
    <row r="7654" spans="3:3">
      <c r="C7654">
        <v>176044</v>
      </c>
    </row>
    <row r="7655" spans="3:3">
      <c r="C7655">
        <v>176067</v>
      </c>
    </row>
    <row r="7656" spans="3:3">
      <c r="C7656">
        <v>176090</v>
      </c>
    </row>
    <row r="7657" spans="3:3">
      <c r="C7657">
        <v>176113</v>
      </c>
    </row>
    <row r="7658" spans="3:3">
      <c r="C7658">
        <v>176137</v>
      </c>
    </row>
    <row r="7659" spans="3:3">
      <c r="C7659">
        <v>176160</v>
      </c>
    </row>
    <row r="7660" spans="3:3">
      <c r="C7660">
        <v>176183</v>
      </c>
    </row>
    <row r="7661" spans="3:3">
      <c r="C7661">
        <v>176206</v>
      </c>
    </row>
    <row r="7662" spans="3:3">
      <c r="C7662">
        <v>176229</v>
      </c>
    </row>
    <row r="7663" spans="3:3">
      <c r="C7663">
        <v>176252</v>
      </c>
    </row>
    <row r="7664" spans="3:3">
      <c r="C7664">
        <v>176275</v>
      </c>
    </row>
    <row r="7665" spans="3:3">
      <c r="C7665">
        <v>176298</v>
      </c>
    </row>
    <row r="7666" spans="3:3">
      <c r="C7666">
        <v>176321</v>
      </c>
    </row>
    <row r="7667" spans="3:3">
      <c r="C7667">
        <v>176344</v>
      </c>
    </row>
    <row r="7668" spans="3:3">
      <c r="C7668">
        <v>176367</v>
      </c>
    </row>
    <row r="7669" spans="3:3">
      <c r="C7669">
        <v>176390</v>
      </c>
    </row>
    <row r="7670" spans="3:3">
      <c r="C7670">
        <v>176413</v>
      </c>
    </row>
    <row r="7671" spans="3:3">
      <c r="C7671">
        <v>176437</v>
      </c>
    </row>
    <row r="7672" spans="3:3">
      <c r="C7672">
        <v>176460</v>
      </c>
    </row>
    <row r="7673" spans="3:3">
      <c r="C7673">
        <v>176483</v>
      </c>
    </row>
    <row r="7674" spans="3:3">
      <c r="C7674">
        <v>176506</v>
      </c>
    </row>
    <row r="7675" spans="3:3">
      <c r="C7675">
        <v>176529</v>
      </c>
    </row>
    <row r="7676" spans="3:3">
      <c r="C7676">
        <v>176552</v>
      </c>
    </row>
    <row r="7677" spans="3:3">
      <c r="C7677">
        <v>176575</v>
      </c>
    </row>
    <row r="7678" spans="3:3">
      <c r="C7678">
        <v>176598</v>
      </c>
    </row>
    <row r="7679" spans="3:3">
      <c r="C7679">
        <v>176621</v>
      </c>
    </row>
    <row r="7680" spans="3:3">
      <c r="C7680">
        <v>176644</v>
      </c>
    </row>
    <row r="7681" spans="3:3">
      <c r="C7681">
        <v>176667</v>
      </c>
    </row>
    <row r="7682" spans="3:3">
      <c r="C7682">
        <v>176690</v>
      </c>
    </row>
    <row r="7683" spans="3:3">
      <c r="C7683">
        <v>176713</v>
      </c>
    </row>
    <row r="7684" spans="3:3">
      <c r="C7684">
        <v>176737</v>
      </c>
    </row>
    <row r="7685" spans="3:3">
      <c r="C7685">
        <v>176760</v>
      </c>
    </row>
    <row r="7686" spans="3:3">
      <c r="C7686">
        <v>176783</v>
      </c>
    </row>
    <row r="7687" spans="3:3">
      <c r="C7687">
        <v>176806</v>
      </c>
    </row>
    <row r="7688" spans="3:3">
      <c r="C7688">
        <v>176829</v>
      </c>
    </row>
    <row r="7689" spans="3:3">
      <c r="C7689">
        <v>176852</v>
      </c>
    </row>
    <row r="7690" spans="3:3">
      <c r="C7690">
        <v>176875</v>
      </c>
    </row>
    <row r="7691" spans="3:3">
      <c r="C7691">
        <v>176898</v>
      </c>
    </row>
    <row r="7692" spans="3:3">
      <c r="C7692">
        <v>176921</v>
      </c>
    </row>
    <row r="7693" spans="3:3">
      <c r="C7693">
        <v>176944</v>
      </c>
    </row>
    <row r="7694" spans="3:3">
      <c r="C7694">
        <v>176967</v>
      </c>
    </row>
    <row r="7695" spans="3:3">
      <c r="C7695">
        <v>176990</v>
      </c>
    </row>
    <row r="7696" spans="3:3">
      <c r="C7696">
        <v>177013</v>
      </c>
    </row>
    <row r="7697" spans="3:3">
      <c r="C7697">
        <v>177037</v>
      </c>
    </row>
    <row r="7698" spans="3:3">
      <c r="C7698">
        <v>177060</v>
      </c>
    </row>
    <row r="7699" spans="3:3">
      <c r="C7699">
        <v>177083</v>
      </c>
    </row>
    <row r="7700" spans="3:3">
      <c r="C7700">
        <v>177106</v>
      </c>
    </row>
    <row r="7701" spans="3:3">
      <c r="C7701">
        <v>177129</v>
      </c>
    </row>
    <row r="7702" spans="3:3">
      <c r="C7702">
        <v>177152</v>
      </c>
    </row>
    <row r="7703" spans="3:3">
      <c r="C7703">
        <v>177175</v>
      </c>
    </row>
    <row r="7704" spans="3:3">
      <c r="C7704">
        <v>177198</v>
      </c>
    </row>
    <row r="7705" spans="3:3">
      <c r="C7705">
        <v>177221</v>
      </c>
    </row>
    <row r="7706" spans="3:3">
      <c r="C7706">
        <v>177244</v>
      </c>
    </row>
    <row r="7707" spans="3:3">
      <c r="C7707">
        <v>177267</v>
      </c>
    </row>
    <row r="7708" spans="3:3">
      <c r="C7708">
        <v>177290</v>
      </c>
    </row>
    <row r="7709" spans="3:3">
      <c r="C7709">
        <v>177313</v>
      </c>
    </row>
    <row r="7710" spans="3:3">
      <c r="C7710">
        <v>177337</v>
      </c>
    </row>
    <row r="7711" spans="3:3">
      <c r="C7711">
        <v>177360</v>
      </c>
    </row>
    <row r="7712" spans="3:3">
      <c r="C7712">
        <v>177383</v>
      </c>
    </row>
    <row r="7713" spans="3:3">
      <c r="C7713">
        <v>177406</v>
      </c>
    </row>
    <row r="7714" spans="3:3">
      <c r="C7714">
        <v>177429</v>
      </c>
    </row>
    <row r="7715" spans="3:3">
      <c r="C7715">
        <v>177452</v>
      </c>
    </row>
    <row r="7716" spans="3:3">
      <c r="C7716">
        <v>177475</v>
      </c>
    </row>
    <row r="7717" spans="3:3">
      <c r="C7717">
        <v>177498</v>
      </c>
    </row>
    <row r="7718" spans="3:3">
      <c r="C7718">
        <v>177521</v>
      </c>
    </row>
    <row r="7719" spans="3:3">
      <c r="C7719">
        <v>177544</v>
      </c>
    </row>
    <row r="7720" spans="3:3">
      <c r="C7720">
        <v>177567</v>
      </c>
    </row>
    <row r="7721" spans="3:3">
      <c r="C7721">
        <v>177590</v>
      </c>
    </row>
    <row r="7722" spans="3:3">
      <c r="C7722">
        <v>177613</v>
      </c>
    </row>
    <row r="7723" spans="3:3">
      <c r="C7723">
        <v>177637</v>
      </c>
    </row>
    <row r="7724" spans="3:3">
      <c r="C7724">
        <v>177660</v>
      </c>
    </row>
    <row r="7725" spans="3:3">
      <c r="C7725">
        <v>177683</v>
      </c>
    </row>
    <row r="7726" spans="3:3">
      <c r="C7726">
        <v>177706</v>
      </c>
    </row>
    <row r="7727" spans="3:3">
      <c r="C7727">
        <v>177729</v>
      </c>
    </row>
    <row r="7728" spans="3:3">
      <c r="C7728">
        <v>177752</v>
      </c>
    </row>
    <row r="7729" spans="3:3">
      <c r="C7729">
        <v>177775</v>
      </c>
    </row>
    <row r="7730" spans="3:3">
      <c r="C7730">
        <v>177798</v>
      </c>
    </row>
    <row r="7731" spans="3:3">
      <c r="C7731">
        <v>177821</v>
      </c>
    </row>
    <row r="7732" spans="3:3">
      <c r="C7732">
        <v>177844</v>
      </c>
    </row>
    <row r="7733" spans="3:3">
      <c r="C7733">
        <v>177867</v>
      </c>
    </row>
    <row r="7734" spans="3:3">
      <c r="C7734">
        <v>177890</v>
      </c>
    </row>
    <row r="7735" spans="3:3">
      <c r="C7735">
        <v>177913</v>
      </c>
    </row>
    <row r="7736" spans="3:3">
      <c r="C7736">
        <v>177937</v>
      </c>
    </row>
    <row r="7737" spans="3:3">
      <c r="C7737">
        <v>177960</v>
      </c>
    </row>
    <row r="7738" spans="3:3">
      <c r="C7738">
        <v>177983</v>
      </c>
    </row>
    <row r="7739" spans="3:3">
      <c r="C7739">
        <v>178006</v>
      </c>
    </row>
    <row r="7740" spans="3:3">
      <c r="C7740">
        <v>178029</v>
      </c>
    </row>
    <row r="7741" spans="3:3">
      <c r="C7741">
        <v>178052</v>
      </c>
    </row>
    <row r="7742" spans="3:3">
      <c r="C7742">
        <v>178075</v>
      </c>
    </row>
    <row r="7743" spans="3:3">
      <c r="C7743">
        <v>178098</v>
      </c>
    </row>
    <row r="7744" spans="3:3">
      <c r="C7744">
        <v>178121</v>
      </c>
    </row>
    <row r="7745" spans="3:3">
      <c r="C7745">
        <v>178144</v>
      </c>
    </row>
    <row r="7746" spans="3:3">
      <c r="C7746">
        <v>178167</v>
      </c>
    </row>
    <row r="7747" spans="3:3">
      <c r="C7747">
        <v>178190</v>
      </c>
    </row>
    <row r="7748" spans="3:3">
      <c r="C7748">
        <v>178213</v>
      </c>
    </row>
    <row r="7749" spans="3:3">
      <c r="C7749">
        <v>178237</v>
      </c>
    </row>
    <row r="7750" spans="3:3">
      <c r="C7750">
        <v>178260</v>
      </c>
    </row>
    <row r="7751" spans="3:3">
      <c r="C7751">
        <v>178283</v>
      </c>
    </row>
    <row r="7752" spans="3:3">
      <c r="C7752">
        <v>178306</v>
      </c>
    </row>
    <row r="7753" spans="3:3">
      <c r="C7753">
        <v>178329</v>
      </c>
    </row>
    <row r="7754" spans="3:3">
      <c r="C7754">
        <v>178352</v>
      </c>
    </row>
    <row r="7755" spans="3:3">
      <c r="C7755">
        <v>178375</v>
      </c>
    </row>
    <row r="7756" spans="3:3">
      <c r="C7756">
        <v>178398</v>
      </c>
    </row>
    <row r="7757" spans="3:3">
      <c r="C7757">
        <v>178421</v>
      </c>
    </row>
    <row r="7758" spans="3:3">
      <c r="C7758">
        <v>178444</v>
      </c>
    </row>
    <row r="7759" spans="3:3">
      <c r="C7759">
        <v>178467</v>
      </c>
    </row>
    <row r="7760" spans="3:3">
      <c r="C7760">
        <v>178490</v>
      </c>
    </row>
    <row r="7761" spans="3:3">
      <c r="C7761">
        <v>178513</v>
      </c>
    </row>
    <row r="7762" spans="3:3">
      <c r="C7762">
        <v>178537</v>
      </c>
    </row>
    <row r="7763" spans="3:3">
      <c r="C7763">
        <v>178560</v>
      </c>
    </row>
    <row r="7764" spans="3:3">
      <c r="C7764">
        <v>178583</v>
      </c>
    </row>
    <row r="7765" spans="3:3">
      <c r="C7765">
        <v>178606</v>
      </c>
    </row>
    <row r="7766" spans="3:3">
      <c r="C7766">
        <v>178629</v>
      </c>
    </row>
    <row r="7767" spans="3:3">
      <c r="C7767">
        <v>178652</v>
      </c>
    </row>
    <row r="7768" spans="3:3">
      <c r="C7768">
        <v>178675</v>
      </c>
    </row>
    <row r="7769" spans="3:3">
      <c r="C7769">
        <v>178698</v>
      </c>
    </row>
    <row r="7770" spans="3:3">
      <c r="C7770">
        <v>178721</v>
      </c>
    </row>
    <row r="7771" spans="3:3">
      <c r="C7771">
        <v>178744</v>
      </c>
    </row>
    <row r="7772" spans="3:3">
      <c r="C7772">
        <v>178767</v>
      </c>
    </row>
    <row r="7773" spans="3:3">
      <c r="C7773">
        <v>178790</v>
      </c>
    </row>
    <row r="7774" spans="3:3">
      <c r="C7774">
        <v>178813</v>
      </c>
    </row>
    <row r="7775" spans="3:3">
      <c r="C7775">
        <v>178837</v>
      </c>
    </row>
    <row r="7776" spans="3:3">
      <c r="C7776">
        <v>178860</v>
      </c>
    </row>
    <row r="7777" spans="3:3">
      <c r="C7777">
        <v>178883</v>
      </c>
    </row>
    <row r="7778" spans="3:3">
      <c r="C7778">
        <v>178906</v>
      </c>
    </row>
    <row r="7779" spans="3:3">
      <c r="C7779">
        <v>178929</v>
      </c>
    </row>
    <row r="7780" spans="3:3">
      <c r="C7780">
        <v>178952</v>
      </c>
    </row>
    <row r="7781" spans="3:3">
      <c r="C7781">
        <v>178975</v>
      </c>
    </row>
    <row r="7782" spans="3:3">
      <c r="C7782">
        <v>178998</v>
      </c>
    </row>
    <row r="7783" spans="3:3">
      <c r="C7783">
        <v>179021</v>
      </c>
    </row>
    <row r="7784" spans="3:3">
      <c r="C7784">
        <v>179044</v>
      </c>
    </row>
    <row r="7785" spans="3:3">
      <c r="C7785">
        <v>179067</v>
      </c>
    </row>
    <row r="7786" spans="3:3">
      <c r="C7786">
        <v>179090</v>
      </c>
    </row>
    <row r="7787" spans="3:3">
      <c r="C7787">
        <v>179113</v>
      </c>
    </row>
    <row r="7788" spans="3:3">
      <c r="C7788">
        <v>179137</v>
      </c>
    </row>
    <row r="7789" spans="3:3">
      <c r="C7789">
        <v>179160</v>
      </c>
    </row>
    <row r="7790" spans="3:3">
      <c r="C7790">
        <v>179183</v>
      </c>
    </row>
    <row r="7791" spans="3:3">
      <c r="C7791">
        <v>179206</v>
      </c>
    </row>
    <row r="7792" spans="3:3">
      <c r="C7792">
        <v>179229</v>
      </c>
    </row>
    <row r="7793" spans="3:3">
      <c r="C7793">
        <v>179252</v>
      </c>
    </row>
    <row r="7794" spans="3:3">
      <c r="C7794">
        <v>179275</v>
      </c>
    </row>
    <row r="7795" spans="3:3">
      <c r="C7795">
        <v>179298</v>
      </c>
    </row>
    <row r="7796" spans="3:3">
      <c r="C7796">
        <v>179321</v>
      </c>
    </row>
    <row r="7797" spans="3:3">
      <c r="C7797">
        <v>179344</v>
      </c>
    </row>
    <row r="7798" spans="3:3">
      <c r="C7798">
        <v>179367</v>
      </c>
    </row>
    <row r="7799" spans="3:3">
      <c r="C7799">
        <v>179390</v>
      </c>
    </row>
    <row r="7800" spans="3:3">
      <c r="C7800">
        <v>179413</v>
      </c>
    </row>
    <row r="7801" spans="3:3">
      <c r="C7801">
        <v>179437</v>
      </c>
    </row>
    <row r="7802" spans="3:3">
      <c r="C7802">
        <v>179460</v>
      </c>
    </row>
    <row r="7803" spans="3:3">
      <c r="C7803">
        <v>179483</v>
      </c>
    </row>
    <row r="7804" spans="3:3">
      <c r="C7804">
        <v>179506</v>
      </c>
    </row>
    <row r="7805" spans="3:3">
      <c r="C7805">
        <v>179529</v>
      </c>
    </row>
    <row r="7806" spans="3:3">
      <c r="C7806">
        <v>179552</v>
      </c>
    </row>
    <row r="7807" spans="3:3">
      <c r="C7807">
        <v>179575</v>
      </c>
    </row>
    <row r="7808" spans="3:3">
      <c r="C7808">
        <v>179598</v>
      </c>
    </row>
    <row r="7809" spans="3:3">
      <c r="C7809">
        <v>179621</v>
      </c>
    </row>
    <row r="7810" spans="3:3">
      <c r="C7810">
        <v>179644</v>
      </c>
    </row>
    <row r="7811" spans="3:3">
      <c r="C7811">
        <v>179667</v>
      </c>
    </row>
    <row r="7812" spans="3:3">
      <c r="C7812">
        <v>179690</v>
      </c>
    </row>
    <row r="7813" spans="3:3">
      <c r="C7813">
        <v>179713</v>
      </c>
    </row>
    <row r="7814" spans="3:3">
      <c r="C7814">
        <v>179737</v>
      </c>
    </row>
    <row r="7815" spans="3:3">
      <c r="C7815">
        <v>179760</v>
      </c>
    </row>
    <row r="7816" spans="3:3">
      <c r="C7816">
        <v>179783</v>
      </c>
    </row>
    <row r="7817" spans="3:3">
      <c r="C7817">
        <v>179806</v>
      </c>
    </row>
    <row r="7818" spans="3:3">
      <c r="C7818">
        <v>179829</v>
      </c>
    </row>
    <row r="7819" spans="3:3">
      <c r="C7819">
        <v>179852</v>
      </c>
    </row>
    <row r="7820" spans="3:3">
      <c r="C7820">
        <v>179875</v>
      </c>
    </row>
    <row r="7821" spans="3:3">
      <c r="C7821">
        <v>179898</v>
      </c>
    </row>
    <row r="7822" spans="3:3">
      <c r="C7822">
        <v>179921</v>
      </c>
    </row>
    <row r="7823" spans="3:3">
      <c r="C7823">
        <v>179944</v>
      </c>
    </row>
    <row r="7824" spans="3:3">
      <c r="C7824">
        <v>179967</v>
      </c>
    </row>
    <row r="7825" spans="3:3">
      <c r="C7825">
        <v>179990</v>
      </c>
    </row>
    <row r="7826" spans="3:3">
      <c r="C7826">
        <v>180013</v>
      </c>
    </row>
    <row r="7827" spans="3:3">
      <c r="C7827">
        <v>180037</v>
      </c>
    </row>
    <row r="7828" spans="3:3">
      <c r="C7828">
        <v>180060</v>
      </c>
    </row>
    <row r="7829" spans="3:3">
      <c r="C7829">
        <v>180083</v>
      </c>
    </row>
    <row r="7830" spans="3:3">
      <c r="C7830">
        <v>180106</v>
      </c>
    </row>
    <row r="7831" spans="3:3">
      <c r="C7831">
        <v>180129</v>
      </c>
    </row>
    <row r="7832" spans="3:3">
      <c r="C7832">
        <v>180152</v>
      </c>
    </row>
    <row r="7833" spans="3:3">
      <c r="C7833">
        <v>180175</v>
      </c>
    </row>
    <row r="7834" spans="3:3">
      <c r="C7834">
        <v>180198</v>
      </c>
    </row>
    <row r="7835" spans="3:3">
      <c r="C7835">
        <v>180221</v>
      </c>
    </row>
    <row r="7836" spans="3:3">
      <c r="C7836">
        <v>180244</v>
      </c>
    </row>
    <row r="7837" spans="3:3">
      <c r="C7837">
        <v>180267</v>
      </c>
    </row>
    <row r="7838" spans="3:3">
      <c r="C7838">
        <v>180290</v>
      </c>
    </row>
    <row r="7839" spans="3:3">
      <c r="C7839">
        <v>180313</v>
      </c>
    </row>
    <row r="7840" spans="3:3">
      <c r="C7840">
        <v>180337</v>
      </c>
    </row>
    <row r="7841" spans="3:3">
      <c r="C7841">
        <v>180360</v>
      </c>
    </row>
    <row r="7842" spans="3:3">
      <c r="C7842">
        <v>180383</v>
      </c>
    </row>
    <row r="7843" spans="3:3">
      <c r="C7843">
        <v>180406</v>
      </c>
    </row>
    <row r="7844" spans="3:3">
      <c r="C7844">
        <v>180429</v>
      </c>
    </row>
    <row r="7845" spans="3:3">
      <c r="C7845">
        <v>180452</v>
      </c>
    </row>
    <row r="7846" spans="3:3">
      <c r="C7846">
        <v>180475</v>
      </c>
    </row>
    <row r="7847" spans="3:3">
      <c r="C7847">
        <v>180498</v>
      </c>
    </row>
    <row r="7848" spans="3:3">
      <c r="C7848">
        <v>180521</v>
      </c>
    </row>
    <row r="7849" spans="3:3">
      <c r="C7849">
        <v>180544</v>
      </c>
    </row>
    <row r="7850" spans="3:3">
      <c r="C7850">
        <v>180567</v>
      </c>
    </row>
    <row r="7851" spans="3:3">
      <c r="C7851">
        <v>180590</v>
      </c>
    </row>
    <row r="7852" spans="3:3">
      <c r="C7852">
        <v>180613</v>
      </c>
    </row>
    <row r="7853" spans="3:3">
      <c r="C7853">
        <v>180637</v>
      </c>
    </row>
    <row r="7854" spans="3:3">
      <c r="C7854">
        <v>180660</v>
      </c>
    </row>
    <row r="7855" spans="3:3">
      <c r="C7855">
        <v>180683</v>
      </c>
    </row>
    <row r="7856" spans="3:3">
      <c r="C7856">
        <v>180706</v>
      </c>
    </row>
    <row r="7857" spans="3:3">
      <c r="C7857">
        <v>180729</v>
      </c>
    </row>
    <row r="7858" spans="3:3">
      <c r="C7858">
        <v>180752</v>
      </c>
    </row>
    <row r="7859" spans="3:3">
      <c r="C7859">
        <v>180775</v>
      </c>
    </row>
    <row r="7860" spans="3:3">
      <c r="C7860">
        <v>180798</v>
      </c>
    </row>
    <row r="7861" spans="3:3">
      <c r="C7861">
        <v>180821</v>
      </c>
    </row>
    <row r="7862" spans="3:3">
      <c r="C7862">
        <v>180844</v>
      </c>
    </row>
    <row r="7863" spans="3:3">
      <c r="C7863">
        <v>180867</v>
      </c>
    </row>
    <row r="7864" spans="3:3">
      <c r="C7864">
        <v>180890</v>
      </c>
    </row>
    <row r="7865" spans="3:3">
      <c r="C7865">
        <v>180913</v>
      </c>
    </row>
    <row r="7866" spans="3:3">
      <c r="C7866">
        <v>180937</v>
      </c>
    </row>
    <row r="7867" spans="3:3">
      <c r="C7867">
        <v>180960</v>
      </c>
    </row>
    <row r="7868" spans="3:3">
      <c r="C7868">
        <v>180983</v>
      </c>
    </row>
    <row r="7869" spans="3:3">
      <c r="C7869">
        <v>181006</v>
      </c>
    </row>
    <row r="7870" spans="3:3">
      <c r="C7870">
        <v>181029</v>
      </c>
    </row>
    <row r="7871" spans="3:3">
      <c r="C7871">
        <v>181052</v>
      </c>
    </row>
    <row r="7872" spans="3:3">
      <c r="C7872">
        <v>181075</v>
      </c>
    </row>
    <row r="7873" spans="3:3">
      <c r="C7873">
        <v>181098</v>
      </c>
    </row>
    <row r="7874" spans="3:3">
      <c r="C7874">
        <v>181121</v>
      </c>
    </row>
    <row r="7875" spans="3:3">
      <c r="C7875">
        <v>181144</v>
      </c>
    </row>
    <row r="7876" spans="3:3">
      <c r="C7876">
        <v>181167</v>
      </c>
    </row>
    <row r="7877" spans="3:3">
      <c r="C7877">
        <v>181190</v>
      </c>
    </row>
    <row r="7878" spans="3:3">
      <c r="C7878">
        <v>181213</v>
      </c>
    </row>
    <row r="7879" spans="3:3">
      <c r="C7879">
        <v>181237</v>
      </c>
    </row>
    <row r="7880" spans="3:3">
      <c r="C7880">
        <v>181260</v>
      </c>
    </row>
    <row r="7881" spans="3:3">
      <c r="C7881">
        <v>181283</v>
      </c>
    </row>
    <row r="7882" spans="3:3">
      <c r="C7882">
        <v>181306</v>
      </c>
    </row>
    <row r="7883" spans="3:3">
      <c r="C7883">
        <v>181329</v>
      </c>
    </row>
    <row r="7884" spans="3:3">
      <c r="C7884">
        <v>181352</v>
      </c>
    </row>
    <row r="7885" spans="3:3">
      <c r="C7885">
        <v>181375</v>
      </c>
    </row>
    <row r="7886" spans="3:3">
      <c r="C7886">
        <v>181398</v>
      </c>
    </row>
    <row r="7887" spans="3:3">
      <c r="C7887">
        <v>181421</v>
      </c>
    </row>
    <row r="7888" spans="3:3">
      <c r="C7888">
        <v>181444</v>
      </c>
    </row>
    <row r="7889" spans="3:3">
      <c r="C7889">
        <v>181467</v>
      </c>
    </row>
    <row r="7890" spans="3:3">
      <c r="C7890">
        <v>181490</v>
      </c>
    </row>
    <row r="7891" spans="3:3">
      <c r="C7891">
        <v>181513</v>
      </c>
    </row>
    <row r="7892" spans="3:3">
      <c r="C7892">
        <v>181537</v>
      </c>
    </row>
    <row r="7893" spans="3:3">
      <c r="C7893">
        <v>181560</v>
      </c>
    </row>
    <row r="7894" spans="3:3">
      <c r="C7894">
        <v>181583</v>
      </c>
    </row>
    <row r="7895" spans="3:3">
      <c r="C7895">
        <v>181606</v>
      </c>
    </row>
    <row r="7896" spans="3:3">
      <c r="C7896">
        <v>181629</v>
      </c>
    </row>
    <row r="7897" spans="3:3">
      <c r="C7897">
        <v>181652</v>
      </c>
    </row>
    <row r="7898" spans="3:3">
      <c r="C7898">
        <v>181675</v>
      </c>
    </row>
    <row r="7899" spans="3:3">
      <c r="C7899">
        <v>181698</v>
      </c>
    </row>
    <row r="7900" spans="3:3">
      <c r="C7900">
        <v>181721</v>
      </c>
    </row>
    <row r="7901" spans="3:3">
      <c r="C7901">
        <v>181744</v>
      </c>
    </row>
    <row r="7902" spans="3:3">
      <c r="C7902">
        <v>181767</v>
      </c>
    </row>
    <row r="7903" spans="3:3">
      <c r="C7903">
        <v>181790</v>
      </c>
    </row>
    <row r="7904" spans="3:3">
      <c r="C7904">
        <v>181813</v>
      </c>
    </row>
    <row r="7905" spans="3:3">
      <c r="C7905">
        <v>181837</v>
      </c>
    </row>
    <row r="7906" spans="3:3">
      <c r="C7906">
        <v>181860</v>
      </c>
    </row>
    <row r="7907" spans="3:3">
      <c r="C7907">
        <v>181883</v>
      </c>
    </row>
    <row r="7908" spans="3:3">
      <c r="C7908">
        <v>181906</v>
      </c>
    </row>
    <row r="7909" spans="3:3">
      <c r="C7909">
        <v>181929</v>
      </c>
    </row>
    <row r="7910" spans="3:3">
      <c r="C7910">
        <v>181952</v>
      </c>
    </row>
    <row r="7911" spans="3:3">
      <c r="C7911">
        <v>181975</v>
      </c>
    </row>
    <row r="7912" spans="3:3">
      <c r="C7912">
        <v>181998</v>
      </c>
    </row>
    <row r="7913" spans="3:3">
      <c r="C7913">
        <v>182021</v>
      </c>
    </row>
    <row r="7914" spans="3:3">
      <c r="C7914">
        <v>182044</v>
      </c>
    </row>
    <row r="7915" spans="3:3">
      <c r="C7915">
        <v>182067</v>
      </c>
    </row>
    <row r="7916" spans="3:3">
      <c r="C7916">
        <v>182090</v>
      </c>
    </row>
    <row r="7917" spans="3:3">
      <c r="C7917">
        <v>182113</v>
      </c>
    </row>
    <row r="7918" spans="3:3">
      <c r="C7918">
        <v>182137</v>
      </c>
    </row>
    <row r="7919" spans="3:3">
      <c r="C7919">
        <v>182160</v>
      </c>
    </row>
    <row r="7920" spans="3:3">
      <c r="C7920">
        <v>182183</v>
      </c>
    </row>
    <row r="7921" spans="3:3">
      <c r="C7921">
        <v>182206</v>
      </c>
    </row>
    <row r="7922" spans="3:3">
      <c r="C7922">
        <v>182229</v>
      </c>
    </row>
    <row r="7923" spans="3:3">
      <c r="C7923">
        <v>182252</v>
      </c>
    </row>
    <row r="7924" spans="3:3">
      <c r="C7924">
        <v>182275</v>
      </c>
    </row>
    <row r="7925" spans="3:3">
      <c r="C7925">
        <v>182298</v>
      </c>
    </row>
    <row r="7926" spans="3:3">
      <c r="C7926">
        <v>182321</v>
      </c>
    </row>
    <row r="7927" spans="3:3">
      <c r="C7927">
        <v>182344</v>
      </c>
    </row>
    <row r="7928" spans="3:3">
      <c r="C7928">
        <v>182367</v>
      </c>
    </row>
    <row r="7929" spans="3:3">
      <c r="C7929">
        <v>182390</v>
      </c>
    </row>
    <row r="7930" spans="3:3">
      <c r="C7930">
        <v>182413</v>
      </c>
    </row>
    <row r="7931" spans="3:3">
      <c r="C7931">
        <v>182437</v>
      </c>
    </row>
    <row r="7932" spans="3:3">
      <c r="C7932">
        <v>182460</v>
      </c>
    </row>
    <row r="7933" spans="3:3">
      <c r="C7933">
        <v>182483</v>
      </c>
    </row>
    <row r="7934" spans="3:3">
      <c r="C7934">
        <v>182506</v>
      </c>
    </row>
    <row r="7935" spans="3:3">
      <c r="C7935">
        <v>182529</v>
      </c>
    </row>
    <row r="7936" spans="3:3">
      <c r="C7936">
        <v>182552</v>
      </c>
    </row>
    <row r="7937" spans="3:3">
      <c r="C7937">
        <v>182575</v>
      </c>
    </row>
    <row r="7938" spans="3:3">
      <c r="C7938">
        <v>182598</v>
      </c>
    </row>
    <row r="7939" spans="3:3">
      <c r="C7939">
        <v>182621</v>
      </c>
    </row>
    <row r="7940" spans="3:3">
      <c r="C7940">
        <v>182644</v>
      </c>
    </row>
    <row r="7941" spans="3:3">
      <c r="C7941">
        <v>182667</v>
      </c>
    </row>
    <row r="7942" spans="3:3">
      <c r="C7942">
        <v>182690</v>
      </c>
    </row>
    <row r="7943" spans="3:3">
      <c r="C7943">
        <v>182713</v>
      </c>
    </row>
    <row r="7944" spans="3:3">
      <c r="C7944">
        <v>182737</v>
      </c>
    </row>
    <row r="7945" spans="3:3">
      <c r="C7945">
        <v>182760</v>
      </c>
    </row>
    <row r="7946" spans="3:3">
      <c r="C7946">
        <v>182783</v>
      </c>
    </row>
    <row r="7947" spans="3:3">
      <c r="C7947">
        <v>182806</v>
      </c>
    </row>
    <row r="7948" spans="3:3">
      <c r="C7948">
        <v>182829</v>
      </c>
    </row>
    <row r="7949" spans="3:3">
      <c r="C7949">
        <v>182852</v>
      </c>
    </row>
    <row r="7950" spans="3:3">
      <c r="C7950">
        <v>182875</v>
      </c>
    </row>
    <row r="7951" spans="3:3">
      <c r="C7951">
        <v>182898</v>
      </c>
    </row>
    <row r="7952" spans="3:3">
      <c r="C7952">
        <v>182921</v>
      </c>
    </row>
    <row r="7953" spans="3:3">
      <c r="C7953">
        <v>182944</v>
      </c>
    </row>
    <row r="7954" spans="3:3">
      <c r="C7954">
        <v>182967</v>
      </c>
    </row>
    <row r="7955" spans="3:3">
      <c r="C7955">
        <v>182990</v>
      </c>
    </row>
    <row r="7956" spans="3:3">
      <c r="C7956">
        <v>183013</v>
      </c>
    </row>
    <row r="7957" spans="3:3">
      <c r="C7957">
        <v>183037</v>
      </c>
    </row>
    <row r="7958" spans="3:3">
      <c r="C7958">
        <v>183060</v>
      </c>
    </row>
    <row r="7959" spans="3:3">
      <c r="C7959">
        <v>183083</v>
      </c>
    </row>
    <row r="7960" spans="3:3">
      <c r="C7960">
        <v>183106</v>
      </c>
    </row>
    <row r="7961" spans="3:3">
      <c r="C7961">
        <v>183129</v>
      </c>
    </row>
    <row r="7962" spans="3:3">
      <c r="C7962">
        <v>183152</v>
      </c>
    </row>
    <row r="7963" spans="3:3">
      <c r="C7963">
        <v>183175</v>
      </c>
    </row>
    <row r="7964" spans="3:3">
      <c r="C7964">
        <v>183198</v>
      </c>
    </row>
    <row r="7965" spans="3:3">
      <c r="C7965">
        <v>183221</v>
      </c>
    </row>
    <row r="7966" spans="3:3">
      <c r="C7966">
        <v>183244</v>
      </c>
    </row>
    <row r="7967" spans="3:3">
      <c r="C7967">
        <v>183267</v>
      </c>
    </row>
    <row r="7968" spans="3:3">
      <c r="C7968">
        <v>183290</v>
      </c>
    </row>
    <row r="7969" spans="3:3">
      <c r="C7969">
        <v>183313</v>
      </c>
    </row>
    <row r="7970" spans="3:3">
      <c r="C7970">
        <v>183337</v>
      </c>
    </row>
    <row r="7971" spans="3:3">
      <c r="C7971">
        <v>183360</v>
      </c>
    </row>
    <row r="7972" spans="3:3">
      <c r="C7972">
        <v>183383</v>
      </c>
    </row>
    <row r="7973" spans="3:3">
      <c r="C7973">
        <v>183406</v>
      </c>
    </row>
    <row r="7974" spans="3:3">
      <c r="C7974">
        <v>183429</v>
      </c>
    </row>
    <row r="7975" spans="3:3">
      <c r="C7975">
        <v>183452</v>
      </c>
    </row>
    <row r="7976" spans="3:3">
      <c r="C7976">
        <v>183475</v>
      </c>
    </row>
    <row r="7977" spans="3:3">
      <c r="C7977">
        <v>183498</v>
      </c>
    </row>
    <row r="7978" spans="3:3">
      <c r="C7978">
        <v>183521</v>
      </c>
    </row>
    <row r="7979" spans="3:3">
      <c r="C7979">
        <v>183544</v>
      </c>
    </row>
    <row r="7980" spans="3:3">
      <c r="C7980">
        <v>183567</v>
      </c>
    </row>
    <row r="7981" spans="3:3">
      <c r="C7981">
        <v>183590</v>
      </c>
    </row>
    <row r="7982" spans="3:3">
      <c r="C7982">
        <v>183613</v>
      </c>
    </row>
    <row r="7983" spans="3:3">
      <c r="C7983">
        <v>183637</v>
      </c>
    </row>
    <row r="7984" spans="3:3">
      <c r="C7984">
        <v>183660</v>
      </c>
    </row>
    <row r="7985" spans="3:3">
      <c r="C7985">
        <v>183683</v>
      </c>
    </row>
    <row r="7986" spans="3:3">
      <c r="C7986">
        <v>183706</v>
      </c>
    </row>
    <row r="7987" spans="3:3">
      <c r="C7987">
        <v>183729</v>
      </c>
    </row>
    <row r="7988" spans="3:3">
      <c r="C7988">
        <v>183752</v>
      </c>
    </row>
    <row r="7989" spans="3:3">
      <c r="C7989">
        <v>183775</v>
      </c>
    </row>
    <row r="7990" spans="3:3">
      <c r="C7990">
        <v>183798</v>
      </c>
    </row>
    <row r="7991" spans="3:3">
      <c r="C7991">
        <v>183821</v>
      </c>
    </row>
    <row r="7992" spans="3:3">
      <c r="C7992">
        <v>183844</v>
      </c>
    </row>
    <row r="7993" spans="3:3">
      <c r="C7993">
        <v>183867</v>
      </c>
    </row>
    <row r="7994" spans="3:3">
      <c r="C7994">
        <v>183890</v>
      </c>
    </row>
    <row r="7995" spans="3:3">
      <c r="C7995">
        <v>183913</v>
      </c>
    </row>
    <row r="7996" spans="3:3">
      <c r="C7996">
        <v>183937</v>
      </c>
    </row>
    <row r="7997" spans="3:3">
      <c r="C7997">
        <v>183960</v>
      </c>
    </row>
    <row r="7998" spans="3:3">
      <c r="C7998">
        <v>183983</v>
      </c>
    </row>
    <row r="7999" spans="3:3">
      <c r="C7999">
        <v>184006</v>
      </c>
    </row>
    <row r="8000" spans="3:3">
      <c r="C8000">
        <v>184029</v>
      </c>
    </row>
    <row r="8001" spans="3:3">
      <c r="C8001">
        <v>184052</v>
      </c>
    </row>
    <row r="8002" spans="3:3">
      <c r="C8002">
        <v>184075</v>
      </c>
    </row>
    <row r="8003" spans="3:3">
      <c r="C8003">
        <v>184098</v>
      </c>
    </row>
    <row r="8004" spans="3:3">
      <c r="C8004">
        <v>184121</v>
      </c>
    </row>
    <row r="8005" spans="3:3">
      <c r="C8005">
        <v>184144</v>
      </c>
    </row>
    <row r="8006" spans="3:3">
      <c r="C8006">
        <v>184167</v>
      </c>
    </row>
    <row r="8007" spans="3:3">
      <c r="C8007">
        <v>184190</v>
      </c>
    </row>
    <row r="8008" spans="3:3">
      <c r="C8008">
        <v>184213</v>
      </c>
    </row>
    <row r="8009" spans="3:3">
      <c r="C8009">
        <v>184237</v>
      </c>
    </row>
    <row r="8010" spans="3:3">
      <c r="C8010">
        <v>184260</v>
      </c>
    </row>
    <row r="8011" spans="3:3">
      <c r="C8011">
        <v>184283</v>
      </c>
    </row>
    <row r="8012" spans="3:3">
      <c r="C8012">
        <v>184306</v>
      </c>
    </row>
    <row r="8013" spans="3:3">
      <c r="C8013">
        <v>184329</v>
      </c>
    </row>
    <row r="8014" spans="3:3">
      <c r="C8014">
        <v>184352</v>
      </c>
    </row>
    <row r="8015" spans="3:3">
      <c r="C8015">
        <v>184375</v>
      </c>
    </row>
    <row r="8016" spans="3:3">
      <c r="C8016">
        <v>184398</v>
      </c>
    </row>
    <row r="8017" spans="3:3">
      <c r="C8017">
        <v>184421</v>
      </c>
    </row>
    <row r="8018" spans="3:3">
      <c r="C8018">
        <v>184444</v>
      </c>
    </row>
    <row r="8019" spans="3:3">
      <c r="C8019">
        <v>184467</v>
      </c>
    </row>
    <row r="8020" spans="3:3">
      <c r="C8020">
        <v>184490</v>
      </c>
    </row>
    <row r="8021" spans="3:3">
      <c r="C8021">
        <v>184513</v>
      </c>
    </row>
    <row r="8022" spans="3:3">
      <c r="C8022">
        <v>184537</v>
      </c>
    </row>
    <row r="8023" spans="3:3">
      <c r="C8023">
        <v>184560</v>
      </c>
    </row>
    <row r="8024" spans="3:3">
      <c r="C8024">
        <v>184583</v>
      </c>
    </row>
    <row r="8025" spans="3:3">
      <c r="C8025">
        <v>184606</v>
      </c>
    </row>
    <row r="8026" spans="3:3">
      <c r="C8026">
        <v>184629</v>
      </c>
    </row>
    <row r="8027" spans="3:3">
      <c r="C8027">
        <v>184652</v>
      </c>
    </row>
    <row r="8028" spans="3:3">
      <c r="C8028">
        <v>184675</v>
      </c>
    </row>
    <row r="8029" spans="3:3">
      <c r="C8029">
        <v>184698</v>
      </c>
    </row>
    <row r="8030" spans="3:3">
      <c r="C8030">
        <v>184721</v>
      </c>
    </row>
    <row r="8031" spans="3:3">
      <c r="C8031">
        <v>184744</v>
      </c>
    </row>
    <row r="8032" spans="3:3">
      <c r="C8032">
        <v>184767</v>
      </c>
    </row>
    <row r="8033" spans="3:3">
      <c r="C8033">
        <v>184790</v>
      </c>
    </row>
    <row r="8034" spans="3:3">
      <c r="C8034">
        <v>184813</v>
      </c>
    </row>
    <row r="8035" spans="3:3">
      <c r="C8035">
        <v>184837</v>
      </c>
    </row>
    <row r="8036" spans="3:3">
      <c r="C8036">
        <v>184860</v>
      </c>
    </row>
    <row r="8037" spans="3:3">
      <c r="C8037">
        <v>184883</v>
      </c>
    </row>
    <row r="8038" spans="3:3">
      <c r="C8038">
        <v>184906</v>
      </c>
    </row>
    <row r="8039" spans="3:3">
      <c r="C8039">
        <v>184929</v>
      </c>
    </row>
    <row r="8040" spans="3:3">
      <c r="C8040">
        <v>184952</v>
      </c>
    </row>
    <row r="8041" spans="3:3">
      <c r="C8041">
        <v>184975</v>
      </c>
    </row>
    <row r="8042" spans="3:3">
      <c r="C8042">
        <v>184998</v>
      </c>
    </row>
    <row r="8043" spans="3:3">
      <c r="C8043">
        <v>185021</v>
      </c>
    </row>
    <row r="8044" spans="3:3">
      <c r="C8044">
        <v>185044</v>
      </c>
    </row>
    <row r="8045" spans="3:3">
      <c r="C8045">
        <v>185067</v>
      </c>
    </row>
    <row r="8046" spans="3:3">
      <c r="C8046">
        <v>185090</v>
      </c>
    </row>
    <row r="8047" spans="3:3">
      <c r="C8047">
        <v>185113</v>
      </c>
    </row>
    <row r="8048" spans="3:3">
      <c r="C8048">
        <v>185137</v>
      </c>
    </row>
    <row r="8049" spans="3:3">
      <c r="C8049">
        <v>185160</v>
      </c>
    </row>
    <row r="8050" spans="3:3">
      <c r="C8050">
        <v>185183</v>
      </c>
    </row>
    <row r="8051" spans="3:3">
      <c r="C8051">
        <v>185206</v>
      </c>
    </row>
    <row r="8052" spans="3:3">
      <c r="C8052">
        <v>185229</v>
      </c>
    </row>
    <row r="8053" spans="3:3">
      <c r="C8053">
        <v>185252</v>
      </c>
    </row>
    <row r="8054" spans="3:3">
      <c r="C8054">
        <v>185275</v>
      </c>
    </row>
    <row r="8055" spans="3:3">
      <c r="C8055">
        <v>185298</v>
      </c>
    </row>
    <row r="8056" spans="3:3">
      <c r="C8056">
        <v>185321</v>
      </c>
    </row>
    <row r="8057" spans="3:3">
      <c r="C8057">
        <v>185344</v>
      </c>
    </row>
    <row r="8058" spans="3:3">
      <c r="C8058">
        <v>185367</v>
      </c>
    </row>
    <row r="8059" spans="3:3">
      <c r="C8059">
        <v>185390</v>
      </c>
    </row>
    <row r="8060" spans="3:3">
      <c r="C8060">
        <v>185413</v>
      </c>
    </row>
    <row r="8061" spans="3:3">
      <c r="C8061">
        <v>185437</v>
      </c>
    </row>
    <row r="8062" spans="3:3">
      <c r="C8062">
        <v>185460</v>
      </c>
    </row>
    <row r="8063" spans="3:3">
      <c r="C8063">
        <v>185483</v>
      </c>
    </row>
    <row r="8064" spans="3:3">
      <c r="C8064">
        <v>185506</v>
      </c>
    </row>
    <row r="8065" spans="3:3">
      <c r="C8065">
        <v>185529</v>
      </c>
    </row>
    <row r="8066" spans="3:3">
      <c r="C8066">
        <v>185552</v>
      </c>
    </row>
    <row r="8067" spans="3:3">
      <c r="C8067">
        <v>185575</v>
      </c>
    </row>
    <row r="8068" spans="3:3">
      <c r="C8068">
        <v>185598</v>
      </c>
    </row>
    <row r="8069" spans="3:3">
      <c r="C8069">
        <v>185621</v>
      </c>
    </row>
    <row r="8070" spans="3:3">
      <c r="C8070">
        <v>185644</v>
      </c>
    </row>
    <row r="8071" spans="3:3">
      <c r="C8071">
        <v>185667</v>
      </c>
    </row>
    <row r="8072" spans="3:3">
      <c r="C8072">
        <v>185690</v>
      </c>
    </row>
    <row r="8073" spans="3:3">
      <c r="C8073">
        <v>185713</v>
      </c>
    </row>
    <row r="8074" spans="3:3">
      <c r="C8074">
        <v>185737</v>
      </c>
    </row>
    <row r="8075" spans="3:3">
      <c r="C8075">
        <v>185760</v>
      </c>
    </row>
    <row r="8076" spans="3:3">
      <c r="C8076">
        <v>185783</v>
      </c>
    </row>
    <row r="8077" spans="3:3">
      <c r="C8077">
        <v>185806</v>
      </c>
    </row>
    <row r="8078" spans="3:3">
      <c r="C8078">
        <v>185829</v>
      </c>
    </row>
    <row r="8079" spans="3:3">
      <c r="C8079">
        <v>185852</v>
      </c>
    </row>
    <row r="8080" spans="3:3">
      <c r="C8080">
        <v>185875</v>
      </c>
    </row>
    <row r="8081" spans="3:3">
      <c r="C8081">
        <v>185898</v>
      </c>
    </row>
    <row r="8082" spans="3:3">
      <c r="C8082">
        <v>185921</v>
      </c>
    </row>
    <row r="8083" spans="3:3">
      <c r="C8083">
        <v>185944</v>
      </c>
    </row>
    <row r="8084" spans="3:3">
      <c r="C8084">
        <v>185967</v>
      </c>
    </row>
    <row r="8085" spans="3:3">
      <c r="C8085">
        <v>185990</v>
      </c>
    </row>
    <row r="8086" spans="3:3">
      <c r="C8086">
        <v>186013</v>
      </c>
    </row>
    <row r="8087" spans="3:3">
      <c r="C8087">
        <v>186037</v>
      </c>
    </row>
    <row r="8088" spans="3:3">
      <c r="C8088">
        <v>186060</v>
      </c>
    </row>
    <row r="8089" spans="3:3">
      <c r="C8089">
        <v>186083</v>
      </c>
    </row>
    <row r="8090" spans="3:3">
      <c r="C8090">
        <v>186106</v>
      </c>
    </row>
    <row r="8091" spans="3:3">
      <c r="C8091">
        <v>186129</v>
      </c>
    </row>
    <row r="8092" spans="3:3">
      <c r="C8092">
        <v>186152</v>
      </c>
    </row>
    <row r="8093" spans="3:3">
      <c r="C8093">
        <v>186175</v>
      </c>
    </row>
    <row r="8094" spans="3:3">
      <c r="C8094">
        <v>186198</v>
      </c>
    </row>
    <row r="8095" spans="3:3">
      <c r="C8095">
        <v>186221</v>
      </c>
    </row>
    <row r="8096" spans="3:3">
      <c r="C8096">
        <v>186244</v>
      </c>
    </row>
    <row r="8097" spans="3:3">
      <c r="C8097">
        <v>186267</v>
      </c>
    </row>
    <row r="8098" spans="3:3">
      <c r="C8098">
        <v>186290</v>
      </c>
    </row>
    <row r="8099" spans="3:3">
      <c r="C8099">
        <v>186313</v>
      </c>
    </row>
    <row r="8100" spans="3:3">
      <c r="C8100">
        <v>186337</v>
      </c>
    </row>
    <row r="8101" spans="3:3">
      <c r="C8101">
        <v>186360</v>
      </c>
    </row>
    <row r="8102" spans="3:3">
      <c r="C8102">
        <v>186383</v>
      </c>
    </row>
    <row r="8103" spans="3:3">
      <c r="C8103">
        <v>186406</v>
      </c>
    </row>
    <row r="8104" spans="3:3">
      <c r="C8104">
        <v>186429</v>
      </c>
    </row>
    <row r="8105" spans="3:3">
      <c r="C8105">
        <v>186452</v>
      </c>
    </row>
    <row r="8106" spans="3:3">
      <c r="C8106">
        <v>186475</v>
      </c>
    </row>
    <row r="8107" spans="3:3">
      <c r="C8107">
        <v>186498</v>
      </c>
    </row>
    <row r="8108" spans="3:3">
      <c r="C8108">
        <v>186521</v>
      </c>
    </row>
    <row r="8109" spans="3:3">
      <c r="C8109">
        <v>186544</v>
      </c>
    </row>
    <row r="8110" spans="3:3">
      <c r="C8110">
        <v>186567</v>
      </c>
    </row>
    <row r="8111" spans="3:3">
      <c r="C8111">
        <v>186590</v>
      </c>
    </row>
    <row r="8112" spans="3:3">
      <c r="C8112">
        <v>186613</v>
      </c>
    </row>
    <row r="8113" spans="3:3">
      <c r="C8113">
        <v>186637</v>
      </c>
    </row>
    <row r="8114" spans="3:3">
      <c r="C8114">
        <v>186660</v>
      </c>
    </row>
    <row r="8115" spans="3:3">
      <c r="C8115">
        <v>186683</v>
      </c>
    </row>
    <row r="8116" spans="3:3">
      <c r="C8116">
        <v>186706</v>
      </c>
    </row>
    <row r="8117" spans="3:3">
      <c r="C8117">
        <v>186729</v>
      </c>
    </row>
    <row r="8118" spans="3:3">
      <c r="C8118">
        <v>186752</v>
      </c>
    </row>
    <row r="8119" spans="3:3">
      <c r="C8119">
        <v>186775</v>
      </c>
    </row>
    <row r="8120" spans="3:3">
      <c r="C8120">
        <v>186798</v>
      </c>
    </row>
    <row r="8121" spans="3:3">
      <c r="C8121">
        <v>186821</v>
      </c>
    </row>
    <row r="8122" spans="3:3">
      <c r="C8122">
        <v>186844</v>
      </c>
    </row>
    <row r="8123" spans="3:3">
      <c r="C8123">
        <v>186867</v>
      </c>
    </row>
    <row r="8124" spans="3:3">
      <c r="C8124">
        <v>186890</v>
      </c>
    </row>
    <row r="8125" spans="3:3">
      <c r="C8125">
        <v>186913</v>
      </c>
    </row>
    <row r="8126" spans="3:3">
      <c r="C8126">
        <v>186937</v>
      </c>
    </row>
    <row r="8127" spans="3:3">
      <c r="C8127">
        <v>186960</v>
      </c>
    </row>
    <row r="8128" spans="3:3">
      <c r="C8128">
        <v>186983</v>
      </c>
    </row>
    <row r="8129" spans="3:3">
      <c r="C8129">
        <v>187006</v>
      </c>
    </row>
    <row r="8130" spans="3:3">
      <c r="C8130">
        <v>187029</v>
      </c>
    </row>
    <row r="8131" spans="3:3">
      <c r="C8131">
        <v>187052</v>
      </c>
    </row>
    <row r="8132" spans="3:3">
      <c r="C8132">
        <v>187075</v>
      </c>
    </row>
    <row r="8133" spans="3:3">
      <c r="C8133">
        <v>187098</v>
      </c>
    </row>
    <row r="8134" spans="3:3">
      <c r="C8134">
        <v>187121</v>
      </c>
    </row>
    <row r="8135" spans="3:3">
      <c r="C8135">
        <v>187144</v>
      </c>
    </row>
    <row r="8136" spans="3:3">
      <c r="C8136">
        <v>187167</v>
      </c>
    </row>
    <row r="8137" spans="3:3">
      <c r="C8137">
        <v>187190</v>
      </c>
    </row>
    <row r="8138" spans="3:3">
      <c r="C8138">
        <v>187213</v>
      </c>
    </row>
    <row r="8139" spans="3:3">
      <c r="C8139">
        <v>187237</v>
      </c>
    </row>
    <row r="8140" spans="3:3">
      <c r="C8140">
        <v>187260</v>
      </c>
    </row>
    <row r="8141" spans="3:3">
      <c r="C8141">
        <v>187283</v>
      </c>
    </row>
    <row r="8142" spans="3:3">
      <c r="C8142">
        <v>187306</v>
      </c>
    </row>
    <row r="8143" spans="3:3">
      <c r="C8143">
        <v>187329</v>
      </c>
    </row>
    <row r="8144" spans="3:3">
      <c r="C8144">
        <v>187352</v>
      </c>
    </row>
    <row r="8145" spans="3:3">
      <c r="C8145">
        <v>187375</v>
      </c>
    </row>
    <row r="8146" spans="3:3">
      <c r="C8146">
        <v>187398</v>
      </c>
    </row>
    <row r="8147" spans="3:3">
      <c r="C8147">
        <v>187421</v>
      </c>
    </row>
    <row r="8148" spans="3:3">
      <c r="C8148">
        <v>187444</v>
      </c>
    </row>
    <row r="8149" spans="3:3">
      <c r="C8149">
        <v>187467</v>
      </c>
    </row>
    <row r="8150" spans="3:3">
      <c r="C8150">
        <v>187490</v>
      </c>
    </row>
    <row r="8151" spans="3:3">
      <c r="C8151">
        <v>187513</v>
      </c>
    </row>
    <row r="8152" spans="3:3">
      <c r="C8152">
        <v>187537</v>
      </c>
    </row>
    <row r="8153" spans="3:3">
      <c r="C8153">
        <v>187560</v>
      </c>
    </row>
    <row r="8154" spans="3:3">
      <c r="C8154">
        <v>187583</v>
      </c>
    </row>
    <row r="8155" spans="3:3">
      <c r="C8155">
        <v>187606</v>
      </c>
    </row>
    <row r="8156" spans="3:3">
      <c r="C8156">
        <v>187629</v>
      </c>
    </row>
    <row r="8157" spans="3:3">
      <c r="C8157">
        <v>187652</v>
      </c>
    </row>
    <row r="8158" spans="3:3">
      <c r="C8158">
        <v>187675</v>
      </c>
    </row>
    <row r="8159" spans="3:3">
      <c r="C8159">
        <v>187698</v>
      </c>
    </row>
    <row r="8160" spans="3:3">
      <c r="C8160">
        <v>187721</v>
      </c>
    </row>
    <row r="8161" spans="3:3">
      <c r="C8161">
        <v>187744</v>
      </c>
    </row>
    <row r="8162" spans="3:3">
      <c r="C8162">
        <v>187767</v>
      </c>
    </row>
    <row r="8163" spans="3:3">
      <c r="C8163">
        <v>187790</v>
      </c>
    </row>
    <row r="8164" spans="3:3">
      <c r="C8164">
        <v>187813</v>
      </c>
    </row>
    <row r="8165" spans="3:3">
      <c r="C8165">
        <v>187837</v>
      </c>
    </row>
    <row r="8166" spans="3:3">
      <c r="C8166">
        <v>187860</v>
      </c>
    </row>
    <row r="8167" spans="3:3">
      <c r="C8167">
        <v>187883</v>
      </c>
    </row>
    <row r="8168" spans="3:3">
      <c r="C8168">
        <v>187906</v>
      </c>
    </row>
    <row r="8169" spans="3:3">
      <c r="C8169">
        <v>187929</v>
      </c>
    </row>
    <row r="8170" spans="3:3">
      <c r="C8170">
        <v>187952</v>
      </c>
    </row>
    <row r="8171" spans="3:3">
      <c r="C8171">
        <v>187975</v>
      </c>
    </row>
    <row r="8172" spans="3:3">
      <c r="C8172">
        <v>187998</v>
      </c>
    </row>
    <row r="8173" spans="3:3">
      <c r="C8173">
        <v>188021</v>
      </c>
    </row>
    <row r="8174" spans="3:3">
      <c r="C8174">
        <v>188044</v>
      </c>
    </row>
    <row r="8175" spans="3:3">
      <c r="C8175">
        <v>188067</v>
      </c>
    </row>
    <row r="8176" spans="3:3">
      <c r="C8176">
        <v>188090</v>
      </c>
    </row>
    <row r="8177" spans="3:3">
      <c r="C8177">
        <v>188113</v>
      </c>
    </row>
    <row r="8178" spans="3:3">
      <c r="C8178">
        <v>188137</v>
      </c>
    </row>
    <row r="8179" spans="3:3">
      <c r="C8179">
        <v>188160</v>
      </c>
    </row>
    <row r="8180" spans="3:3">
      <c r="C8180">
        <v>188183</v>
      </c>
    </row>
    <row r="8181" spans="3:3">
      <c r="C8181">
        <v>188206</v>
      </c>
    </row>
    <row r="8182" spans="3:3">
      <c r="C8182">
        <v>188229</v>
      </c>
    </row>
    <row r="8183" spans="3:3">
      <c r="C8183">
        <v>188252</v>
      </c>
    </row>
    <row r="8184" spans="3:3">
      <c r="C8184">
        <v>188275</v>
      </c>
    </row>
    <row r="8185" spans="3:3">
      <c r="C8185">
        <v>188298</v>
      </c>
    </row>
    <row r="8186" spans="3:3">
      <c r="C8186">
        <v>188321</v>
      </c>
    </row>
    <row r="8187" spans="3:3">
      <c r="C8187">
        <v>188344</v>
      </c>
    </row>
    <row r="8188" spans="3:3">
      <c r="C8188">
        <v>188367</v>
      </c>
    </row>
    <row r="8189" spans="3:3">
      <c r="C8189">
        <v>188390</v>
      </c>
    </row>
    <row r="8190" spans="3:3">
      <c r="C8190">
        <v>188413</v>
      </c>
    </row>
    <row r="8191" spans="3:3">
      <c r="C8191">
        <v>188437</v>
      </c>
    </row>
    <row r="8192" spans="3:3">
      <c r="C8192">
        <v>188460</v>
      </c>
    </row>
    <row r="8193" spans="3:3">
      <c r="C8193">
        <v>188483</v>
      </c>
    </row>
    <row r="8194" spans="3:3">
      <c r="C8194">
        <v>188506</v>
      </c>
    </row>
    <row r="8195" spans="3:3">
      <c r="C8195">
        <v>188529</v>
      </c>
    </row>
    <row r="8196" spans="3:3">
      <c r="C8196">
        <v>188552</v>
      </c>
    </row>
    <row r="8197" spans="3:3">
      <c r="C8197">
        <v>188575</v>
      </c>
    </row>
    <row r="8198" spans="3:3">
      <c r="C8198">
        <v>188598</v>
      </c>
    </row>
    <row r="8199" spans="3:3">
      <c r="C8199">
        <v>188621</v>
      </c>
    </row>
    <row r="8200" spans="3:3">
      <c r="C8200">
        <v>188644</v>
      </c>
    </row>
    <row r="8201" spans="3:3">
      <c r="C8201">
        <v>188667</v>
      </c>
    </row>
    <row r="8202" spans="3:3">
      <c r="C8202">
        <v>188690</v>
      </c>
    </row>
    <row r="8203" spans="3:3">
      <c r="C8203">
        <v>188713</v>
      </c>
    </row>
    <row r="8204" spans="3:3">
      <c r="C8204">
        <v>188737</v>
      </c>
    </row>
    <row r="8205" spans="3:3">
      <c r="C8205">
        <v>188760</v>
      </c>
    </row>
    <row r="8206" spans="3:3">
      <c r="C8206">
        <v>188783</v>
      </c>
    </row>
    <row r="8207" spans="3:3">
      <c r="C8207">
        <v>188806</v>
      </c>
    </row>
    <row r="8208" spans="3:3">
      <c r="C8208">
        <v>188829</v>
      </c>
    </row>
    <row r="8209" spans="3:3">
      <c r="C8209">
        <v>188852</v>
      </c>
    </row>
    <row r="8210" spans="3:3">
      <c r="C8210">
        <v>188875</v>
      </c>
    </row>
    <row r="8211" spans="3:3">
      <c r="C8211">
        <v>188898</v>
      </c>
    </row>
    <row r="8212" spans="3:3">
      <c r="C8212">
        <v>188921</v>
      </c>
    </row>
    <row r="8213" spans="3:3">
      <c r="C8213">
        <v>188944</v>
      </c>
    </row>
    <row r="8214" spans="3:3">
      <c r="C8214">
        <v>188967</v>
      </c>
    </row>
    <row r="8215" spans="3:3">
      <c r="C8215">
        <v>188990</v>
      </c>
    </row>
    <row r="8216" spans="3:3">
      <c r="C8216">
        <v>189013</v>
      </c>
    </row>
    <row r="8217" spans="3:3">
      <c r="C8217">
        <v>189037</v>
      </c>
    </row>
    <row r="8218" spans="3:3">
      <c r="C8218">
        <v>189060</v>
      </c>
    </row>
    <row r="8219" spans="3:3">
      <c r="C8219">
        <v>189083</v>
      </c>
    </row>
    <row r="8220" spans="3:3">
      <c r="C8220">
        <v>189106</v>
      </c>
    </row>
    <row r="8221" spans="3:3">
      <c r="C8221">
        <v>189129</v>
      </c>
    </row>
    <row r="8222" spans="3:3">
      <c r="C8222">
        <v>189152</v>
      </c>
    </row>
    <row r="8223" spans="3:3">
      <c r="C8223">
        <v>189175</v>
      </c>
    </row>
    <row r="8224" spans="3:3">
      <c r="C8224">
        <v>189198</v>
      </c>
    </row>
    <row r="8225" spans="3:3">
      <c r="C8225">
        <v>189221</v>
      </c>
    </row>
    <row r="8226" spans="3:3">
      <c r="C8226">
        <v>189244</v>
      </c>
    </row>
    <row r="8227" spans="3:3">
      <c r="C8227">
        <v>189267</v>
      </c>
    </row>
    <row r="8228" spans="3:3">
      <c r="C8228">
        <v>189290</v>
      </c>
    </row>
    <row r="8229" spans="3:3">
      <c r="C8229">
        <v>189313</v>
      </c>
    </row>
    <row r="8230" spans="3:3">
      <c r="C8230">
        <v>189337</v>
      </c>
    </row>
    <row r="8231" spans="3:3">
      <c r="C8231">
        <v>189360</v>
      </c>
    </row>
    <row r="8232" spans="3:3">
      <c r="C8232">
        <v>189383</v>
      </c>
    </row>
    <row r="8233" spans="3:3">
      <c r="C8233">
        <v>189406</v>
      </c>
    </row>
    <row r="8234" spans="3:3">
      <c r="C8234">
        <v>189429</v>
      </c>
    </row>
    <row r="8235" spans="3:3">
      <c r="C8235">
        <v>189452</v>
      </c>
    </row>
    <row r="8236" spans="3:3">
      <c r="C8236">
        <v>189475</v>
      </c>
    </row>
    <row r="8237" spans="3:3">
      <c r="C8237">
        <v>189498</v>
      </c>
    </row>
    <row r="8238" spans="3:3">
      <c r="C8238">
        <v>189521</v>
      </c>
    </row>
    <row r="8239" spans="3:3">
      <c r="C8239">
        <v>189544</v>
      </c>
    </row>
    <row r="8240" spans="3:3">
      <c r="C8240">
        <v>189567</v>
      </c>
    </row>
    <row r="8241" spans="3:3">
      <c r="C8241">
        <v>189590</v>
      </c>
    </row>
    <row r="8242" spans="3:3">
      <c r="C8242">
        <v>189613</v>
      </c>
    </row>
    <row r="8243" spans="3:3">
      <c r="C8243">
        <v>189637</v>
      </c>
    </row>
    <row r="8244" spans="3:3">
      <c r="C8244">
        <v>189660</v>
      </c>
    </row>
    <row r="8245" spans="3:3">
      <c r="C8245">
        <v>189683</v>
      </c>
    </row>
    <row r="8246" spans="3:3">
      <c r="C8246">
        <v>189706</v>
      </c>
    </row>
    <row r="8247" spans="3:3">
      <c r="C8247">
        <v>189729</v>
      </c>
    </row>
    <row r="8248" spans="3:3">
      <c r="C8248">
        <v>189752</v>
      </c>
    </row>
    <row r="8249" spans="3:3">
      <c r="C8249">
        <v>189775</v>
      </c>
    </row>
    <row r="8250" spans="3:3">
      <c r="C8250">
        <v>189798</v>
      </c>
    </row>
    <row r="8251" spans="3:3">
      <c r="C8251">
        <v>189821</v>
      </c>
    </row>
    <row r="8252" spans="3:3">
      <c r="C8252">
        <v>189844</v>
      </c>
    </row>
    <row r="8253" spans="3:3">
      <c r="C8253">
        <v>189867</v>
      </c>
    </row>
    <row r="8254" spans="3:3">
      <c r="C8254">
        <v>189890</v>
      </c>
    </row>
    <row r="8255" spans="3:3">
      <c r="C8255">
        <v>189913</v>
      </c>
    </row>
    <row r="8256" spans="3:3">
      <c r="C8256">
        <v>189937</v>
      </c>
    </row>
    <row r="8257" spans="3:3">
      <c r="C8257">
        <v>189960</v>
      </c>
    </row>
    <row r="8258" spans="3:3">
      <c r="C8258">
        <v>189983</v>
      </c>
    </row>
    <row r="8259" spans="3:3">
      <c r="C8259">
        <v>190006</v>
      </c>
    </row>
    <row r="8260" spans="3:3">
      <c r="C8260">
        <v>190029</v>
      </c>
    </row>
    <row r="8261" spans="3:3">
      <c r="C8261">
        <v>190052</v>
      </c>
    </row>
    <row r="8262" spans="3:3">
      <c r="C8262">
        <v>190075</v>
      </c>
    </row>
    <row r="8263" spans="3:3">
      <c r="C8263">
        <v>190098</v>
      </c>
    </row>
    <row r="8264" spans="3:3">
      <c r="C8264">
        <v>190121</v>
      </c>
    </row>
    <row r="8265" spans="3:3">
      <c r="C8265">
        <v>190144</v>
      </c>
    </row>
    <row r="8266" spans="3:3">
      <c r="C8266">
        <v>190167</v>
      </c>
    </row>
    <row r="8267" spans="3:3">
      <c r="C8267">
        <v>190190</v>
      </c>
    </row>
    <row r="8268" spans="3:3">
      <c r="C8268">
        <v>190213</v>
      </c>
    </row>
    <row r="8269" spans="3:3">
      <c r="C8269">
        <v>190237</v>
      </c>
    </row>
    <row r="8270" spans="3:3">
      <c r="C8270">
        <v>190260</v>
      </c>
    </row>
    <row r="8271" spans="3:3">
      <c r="C8271">
        <v>190283</v>
      </c>
    </row>
    <row r="8272" spans="3:3">
      <c r="C8272">
        <v>190306</v>
      </c>
    </row>
    <row r="8273" spans="3:3">
      <c r="C8273">
        <v>190329</v>
      </c>
    </row>
    <row r="8274" spans="3:3">
      <c r="C8274">
        <v>190352</v>
      </c>
    </row>
    <row r="8275" spans="3:3">
      <c r="C8275">
        <v>190375</v>
      </c>
    </row>
    <row r="8276" spans="3:3">
      <c r="C8276">
        <v>190398</v>
      </c>
    </row>
    <row r="8277" spans="3:3">
      <c r="C8277">
        <v>190421</v>
      </c>
    </row>
    <row r="8278" spans="3:3">
      <c r="C8278">
        <v>190444</v>
      </c>
    </row>
    <row r="8279" spans="3:3">
      <c r="C8279">
        <v>190467</v>
      </c>
    </row>
    <row r="8280" spans="3:3">
      <c r="C8280">
        <v>190490</v>
      </c>
    </row>
    <row r="8281" spans="3:3">
      <c r="C8281">
        <v>190513</v>
      </c>
    </row>
    <row r="8282" spans="3:3">
      <c r="C8282">
        <v>190537</v>
      </c>
    </row>
    <row r="8283" spans="3:3">
      <c r="C8283">
        <v>190560</v>
      </c>
    </row>
    <row r="8284" spans="3:3">
      <c r="C8284">
        <v>190583</v>
      </c>
    </row>
    <row r="8285" spans="3:3">
      <c r="C8285">
        <v>190606</v>
      </c>
    </row>
    <row r="8286" spans="3:3">
      <c r="C8286">
        <v>190629</v>
      </c>
    </row>
    <row r="8287" spans="3:3">
      <c r="C8287">
        <v>190652</v>
      </c>
    </row>
    <row r="8288" spans="3:3">
      <c r="C8288">
        <v>190675</v>
      </c>
    </row>
    <row r="8289" spans="3:3">
      <c r="C8289">
        <v>190698</v>
      </c>
    </row>
    <row r="8290" spans="3:3">
      <c r="C8290">
        <v>190721</v>
      </c>
    </row>
    <row r="8291" spans="3:3">
      <c r="C8291">
        <v>190744</v>
      </c>
    </row>
    <row r="8292" spans="3:3">
      <c r="C8292">
        <v>190767</v>
      </c>
    </row>
    <row r="8293" spans="3:3">
      <c r="C8293">
        <v>190790</v>
      </c>
    </row>
    <row r="8294" spans="3:3">
      <c r="C8294">
        <v>190813</v>
      </c>
    </row>
    <row r="8295" spans="3:3">
      <c r="C8295">
        <v>190837</v>
      </c>
    </row>
    <row r="8296" spans="3:3">
      <c r="C8296">
        <v>190860</v>
      </c>
    </row>
    <row r="8297" spans="3:3">
      <c r="C8297">
        <v>190883</v>
      </c>
    </row>
    <row r="8298" spans="3:3">
      <c r="C8298">
        <v>190906</v>
      </c>
    </row>
    <row r="8299" spans="3:3">
      <c r="C8299">
        <v>190929</v>
      </c>
    </row>
    <row r="8300" spans="3:3">
      <c r="C8300">
        <v>190952</v>
      </c>
    </row>
    <row r="8301" spans="3:3">
      <c r="C8301">
        <v>190975</v>
      </c>
    </row>
    <row r="8302" spans="3:3">
      <c r="C8302">
        <v>190998</v>
      </c>
    </row>
    <row r="8303" spans="3:3">
      <c r="C8303">
        <v>191021</v>
      </c>
    </row>
    <row r="8304" spans="3:3">
      <c r="C8304">
        <v>191044</v>
      </c>
    </row>
    <row r="8305" spans="3:3">
      <c r="C8305">
        <v>191067</v>
      </c>
    </row>
    <row r="8306" spans="3:3">
      <c r="C8306">
        <v>191090</v>
      </c>
    </row>
    <row r="8307" spans="3:3">
      <c r="C8307">
        <v>191113</v>
      </c>
    </row>
    <row r="8308" spans="3:3">
      <c r="C8308">
        <v>191137</v>
      </c>
    </row>
    <row r="8309" spans="3:3">
      <c r="C8309">
        <v>191160</v>
      </c>
    </row>
    <row r="8310" spans="3:3">
      <c r="C8310">
        <v>191183</v>
      </c>
    </row>
    <row r="8311" spans="3:3">
      <c r="C8311">
        <v>191206</v>
      </c>
    </row>
    <row r="8312" spans="3:3">
      <c r="C8312">
        <v>191229</v>
      </c>
    </row>
    <row r="8313" spans="3:3">
      <c r="C8313">
        <v>191252</v>
      </c>
    </row>
    <row r="8314" spans="3:3">
      <c r="C8314">
        <v>191275</v>
      </c>
    </row>
    <row r="8315" spans="3:3">
      <c r="C8315">
        <v>191298</v>
      </c>
    </row>
    <row r="8316" spans="3:3">
      <c r="C8316">
        <v>191321</v>
      </c>
    </row>
    <row r="8317" spans="3:3">
      <c r="C8317">
        <v>191344</v>
      </c>
    </row>
    <row r="8318" spans="3:3">
      <c r="C8318">
        <v>191367</v>
      </c>
    </row>
    <row r="8319" spans="3:3">
      <c r="C8319">
        <v>191390</v>
      </c>
    </row>
    <row r="8320" spans="3:3">
      <c r="C8320">
        <v>191413</v>
      </c>
    </row>
    <row r="8321" spans="3:3">
      <c r="C8321">
        <v>191437</v>
      </c>
    </row>
    <row r="8322" spans="3:3">
      <c r="C8322">
        <v>191460</v>
      </c>
    </row>
    <row r="8323" spans="3:3">
      <c r="C8323">
        <v>191483</v>
      </c>
    </row>
    <row r="8324" spans="3:3">
      <c r="C8324">
        <v>191506</v>
      </c>
    </row>
    <row r="8325" spans="3:3">
      <c r="C8325">
        <v>191529</v>
      </c>
    </row>
    <row r="8326" spans="3:3">
      <c r="C8326">
        <v>191552</v>
      </c>
    </row>
    <row r="8327" spans="3:3">
      <c r="C8327">
        <v>191575</v>
      </c>
    </row>
    <row r="8328" spans="3:3">
      <c r="C8328">
        <v>191598</v>
      </c>
    </row>
    <row r="8329" spans="3:3">
      <c r="C8329">
        <v>191621</v>
      </c>
    </row>
    <row r="8330" spans="3:3">
      <c r="C8330">
        <v>191644</v>
      </c>
    </row>
    <row r="8331" spans="3:3">
      <c r="C8331">
        <v>191667</v>
      </c>
    </row>
    <row r="8332" spans="3:3">
      <c r="C8332">
        <v>191690</v>
      </c>
    </row>
    <row r="8333" spans="3:3">
      <c r="C8333">
        <v>191713</v>
      </c>
    </row>
    <row r="8334" spans="3:3">
      <c r="C8334">
        <v>191737</v>
      </c>
    </row>
    <row r="8335" spans="3:3">
      <c r="C8335">
        <v>191760</v>
      </c>
    </row>
    <row r="8336" spans="3:3">
      <c r="C8336">
        <v>191783</v>
      </c>
    </row>
    <row r="8337" spans="3:3">
      <c r="C8337">
        <v>191806</v>
      </c>
    </row>
    <row r="8338" spans="3:3">
      <c r="C8338">
        <v>191829</v>
      </c>
    </row>
    <row r="8339" spans="3:3">
      <c r="C8339">
        <v>191852</v>
      </c>
    </row>
    <row r="8340" spans="3:3">
      <c r="C8340">
        <v>191875</v>
      </c>
    </row>
    <row r="8341" spans="3:3">
      <c r="C8341">
        <v>191898</v>
      </c>
    </row>
    <row r="8342" spans="3:3">
      <c r="C8342">
        <v>191921</v>
      </c>
    </row>
    <row r="8343" spans="3:3">
      <c r="C8343">
        <v>191944</v>
      </c>
    </row>
    <row r="8344" spans="3:3">
      <c r="C8344">
        <v>191967</v>
      </c>
    </row>
    <row r="8345" spans="3:3">
      <c r="C8345">
        <v>191990</v>
      </c>
    </row>
    <row r="8346" spans="3:3">
      <c r="C8346">
        <v>192013</v>
      </c>
    </row>
    <row r="8347" spans="3:3">
      <c r="C8347">
        <v>192037</v>
      </c>
    </row>
    <row r="8348" spans="3:3">
      <c r="C8348">
        <v>192060</v>
      </c>
    </row>
    <row r="8349" spans="3:3">
      <c r="C8349">
        <v>192083</v>
      </c>
    </row>
    <row r="8350" spans="3:3">
      <c r="C8350">
        <v>192106</v>
      </c>
    </row>
    <row r="8351" spans="3:3">
      <c r="C8351">
        <v>192129</v>
      </c>
    </row>
    <row r="8352" spans="3:3">
      <c r="C8352">
        <v>192152</v>
      </c>
    </row>
    <row r="8353" spans="3:3">
      <c r="C8353">
        <v>192175</v>
      </c>
    </row>
    <row r="8354" spans="3:3">
      <c r="C8354">
        <v>192198</v>
      </c>
    </row>
    <row r="8355" spans="3:3">
      <c r="C8355">
        <v>192221</v>
      </c>
    </row>
    <row r="8356" spans="3:3">
      <c r="C8356">
        <v>192244</v>
      </c>
    </row>
    <row r="8357" spans="3:3">
      <c r="C8357">
        <v>192267</v>
      </c>
    </row>
    <row r="8358" spans="3:3">
      <c r="C8358">
        <v>192290</v>
      </c>
    </row>
    <row r="8359" spans="3:3">
      <c r="C8359">
        <v>192313</v>
      </c>
    </row>
    <row r="8360" spans="3:3">
      <c r="C8360">
        <v>192337</v>
      </c>
    </row>
    <row r="8361" spans="3:3">
      <c r="C8361">
        <v>192360</v>
      </c>
    </row>
    <row r="8362" spans="3:3">
      <c r="C8362">
        <v>192383</v>
      </c>
    </row>
    <row r="8363" spans="3:3">
      <c r="C8363">
        <v>192406</v>
      </c>
    </row>
    <row r="8364" spans="3:3">
      <c r="C8364">
        <v>192429</v>
      </c>
    </row>
    <row r="8365" spans="3:3">
      <c r="C8365">
        <v>192452</v>
      </c>
    </row>
    <row r="8366" spans="3:3">
      <c r="C8366">
        <v>192475</v>
      </c>
    </row>
    <row r="8367" spans="3:3">
      <c r="C8367">
        <v>192498</v>
      </c>
    </row>
    <row r="8368" spans="3:3">
      <c r="C8368">
        <v>192521</v>
      </c>
    </row>
    <row r="8369" spans="3:3">
      <c r="C8369">
        <v>192544</v>
      </c>
    </row>
    <row r="8370" spans="3:3">
      <c r="C8370">
        <v>192567</v>
      </c>
    </row>
    <row r="8371" spans="3:3">
      <c r="C8371">
        <v>192590</v>
      </c>
    </row>
    <row r="8372" spans="3:3">
      <c r="C8372">
        <v>192613</v>
      </c>
    </row>
    <row r="8373" spans="3:3">
      <c r="C8373">
        <v>192637</v>
      </c>
    </row>
    <row r="8374" spans="3:3">
      <c r="C8374">
        <v>192660</v>
      </c>
    </row>
    <row r="8375" spans="3:3">
      <c r="C8375">
        <v>192683</v>
      </c>
    </row>
    <row r="8376" spans="3:3">
      <c r="C8376">
        <v>192706</v>
      </c>
    </row>
    <row r="8377" spans="3:3">
      <c r="C8377">
        <v>192729</v>
      </c>
    </row>
    <row r="8378" spans="3:3">
      <c r="C8378">
        <v>192752</v>
      </c>
    </row>
    <row r="8379" spans="3:3">
      <c r="C8379">
        <v>192775</v>
      </c>
    </row>
    <row r="8380" spans="3:3">
      <c r="C8380">
        <v>192798</v>
      </c>
    </row>
    <row r="8381" spans="3:3">
      <c r="C8381">
        <v>192821</v>
      </c>
    </row>
    <row r="8382" spans="3:3">
      <c r="C8382">
        <v>192844</v>
      </c>
    </row>
    <row r="8383" spans="3:3">
      <c r="C8383">
        <v>192867</v>
      </c>
    </row>
    <row r="8384" spans="3:3">
      <c r="C8384">
        <v>192890</v>
      </c>
    </row>
    <row r="8385" spans="3:3">
      <c r="C8385">
        <v>192913</v>
      </c>
    </row>
    <row r="8386" spans="3:3">
      <c r="C8386">
        <v>192937</v>
      </c>
    </row>
    <row r="8387" spans="3:3">
      <c r="C8387">
        <v>192960</v>
      </c>
    </row>
    <row r="8388" spans="3:3">
      <c r="C8388">
        <v>192983</v>
      </c>
    </row>
    <row r="8389" spans="3:3">
      <c r="C8389">
        <v>193006</v>
      </c>
    </row>
    <row r="8390" spans="3:3">
      <c r="C8390">
        <v>193029</v>
      </c>
    </row>
    <row r="8391" spans="3:3">
      <c r="C8391">
        <v>193052</v>
      </c>
    </row>
    <row r="8392" spans="3:3">
      <c r="C8392">
        <v>193075</v>
      </c>
    </row>
    <row r="8393" spans="3:3">
      <c r="C8393">
        <v>193098</v>
      </c>
    </row>
    <row r="8394" spans="3:3">
      <c r="C8394">
        <v>193121</v>
      </c>
    </row>
    <row r="8395" spans="3:3">
      <c r="C8395">
        <v>193144</v>
      </c>
    </row>
    <row r="8396" spans="3:3">
      <c r="C8396">
        <v>193167</v>
      </c>
    </row>
    <row r="8397" spans="3:3">
      <c r="C8397">
        <v>193190</v>
      </c>
    </row>
    <row r="8398" spans="3:3">
      <c r="C8398">
        <v>193213</v>
      </c>
    </row>
    <row r="8399" spans="3:3">
      <c r="C8399">
        <v>193237</v>
      </c>
    </row>
    <row r="8400" spans="3:3">
      <c r="C8400">
        <v>193260</v>
      </c>
    </row>
    <row r="8401" spans="3:3">
      <c r="C8401">
        <v>193283</v>
      </c>
    </row>
    <row r="8402" spans="3:3">
      <c r="C8402">
        <v>193306</v>
      </c>
    </row>
    <row r="8403" spans="3:3">
      <c r="C8403">
        <v>193329</v>
      </c>
    </row>
    <row r="8404" spans="3:3">
      <c r="C8404">
        <v>193352</v>
      </c>
    </row>
    <row r="8405" spans="3:3">
      <c r="C8405">
        <v>193375</v>
      </c>
    </row>
    <row r="8406" spans="3:3">
      <c r="C8406">
        <v>193398</v>
      </c>
    </row>
    <row r="8407" spans="3:3">
      <c r="C8407">
        <v>193421</v>
      </c>
    </row>
    <row r="8408" spans="3:3">
      <c r="C8408">
        <v>193444</v>
      </c>
    </row>
    <row r="8409" spans="3:3">
      <c r="C8409">
        <v>193467</v>
      </c>
    </row>
    <row r="8410" spans="3:3">
      <c r="C8410">
        <v>193490</v>
      </c>
    </row>
    <row r="8411" spans="3:3">
      <c r="C8411">
        <v>193513</v>
      </c>
    </row>
    <row r="8412" spans="3:3">
      <c r="C8412">
        <v>193537</v>
      </c>
    </row>
    <row r="8413" spans="3:3">
      <c r="C8413">
        <v>193560</v>
      </c>
    </row>
    <row r="8414" spans="3:3">
      <c r="C8414">
        <v>193583</v>
      </c>
    </row>
    <row r="8415" spans="3:3">
      <c r="C8415">
        <v>193606</v>
      </c>
    </row>
    <row r="8416" spans="3:3">
      <c r="C8416">
        <v>193629</v>
      </c>
    </row>
    <row r="8417" spans="3:3">
      <c r="C8417">
        <v>193652</v>
      </c>
    </row>
    <row r="8418" spans="3:3">
      <c r="C8418">
        <v>193675</v>
      </c>
    </row>
    <row r="8419" spans="3:3">
      <c r="C8419">
        <v>193698</v>
      </c>
    </row>
    <row r="8420" spans="3:3">
      <c r="C8420">
        <v>193721</v>
      </c>
    </row>
    <row r="8421" spans="3:3">
      <c r="C8421">
        <v>193744</v>
      </c>
    </row>
    <row r="8422" spans="3:3">
      <c r="C8422">
        <v>193767</v>
      </c>
    </row>
    <row r="8423" spans="3:3">
      <c r="C8423">
        <v>193790</v>
      </c>
    </row>
    <row r="8424" spans="3:3">
      <c r="C8424">
        <v>193813</v>
      </c>
    </row>
    <row r="8425" spans="3:3">
      <c r="C8425">
        <v>193837</v>
      </c>
    </row>
    <row r="8426" spans="3:3">
      <c r="C8426">
        <v>193860</v>
      </c>
    </row>
    <row r="8427" spans="3:3">
      <c r="C8427">
        <v>193883</v>
      </c>
    </row>
    <row r="8428" spans="3:3">
      <c r="C8428">
        <v>193906</v>
      </c>
    </row>
    <row r="8429" spans="3:3">
      <c r="C8429">
        <v>193929</v>
      </c>
    </row>
    <row r="8430" spans="3:3">
      <c r="C8430">
        <v>193952</v>
      </c>
    </row>
    <row r="8431" spans="3:3">
      <c r="C8431">
        <v>193975</v>
      </c>
    </row>
    <row r="8432" spans="3:3">
      <c r="C8432">
        <v>193998</v>
      </c>
    </row>
    <row r="8433" spans="3:3">
      <c r="C8433">
        <v>194021</v>
      </c>
    </row>
    <row r="8434" spans="3:3">
      <c r="C8434">
        <v>194044</v>
      </c>
    </row>
    <row r="8435" spans="3:3">
      <c r="C8435">
        <v>194067</v>
      </c>
    </row>
    <row r="8436" spans="3:3">
      <c r="C8436">
        <v>194090</v>
      </c>
    </row>
    <row r="8437" spans="3:3">
      <c r="C8437">
        <v>194113</v>
      </c>
    </row>
    <row r="8438" spans="3:3">
      <c r="C8438">
        <v>194137</v>
      </c>
    </row>
    <row r="8439" spans="3:3">
      <c r="C8439">
        <v>194160</v>
      </c>
    </row>
    <row r="8440" spans="3:3">
      <c r="C8440">
        <v>194183</v>
      </c>
    </row>
    <row r="8441" spans="3:3">
      <c r="C8441">
        <v>194206</v>
      </c>
    </row>
    <row r="8442" spans="3:3">
      <c r="C8442">
        <v>194229</v>
      </c>
    </row>
    <row r="8443" spans="3:3">
      <c r="C8443">
        <v>194252</v>
      </c>
    </row>
    <row r="8444" spans="3:3">
      <c r="C8444">
        <v>194275</v>
      </c>
    </row>
    <row r="8445" spans="3:3">
      <c r="C8445">
        <v>194298</v>
      </c>
    </row>
    <row r="8446" spans="3:3">
      <c r="C8446">
        <v>194321</v>
      </c>
    </row>
    <row r="8447" spans="3:3">
      <c r="C8447">
        <v>194344</v>
      </c>
    </row>
    <row r="8448" spans="3:3">
      <c r="C8448">
        <v>194367</v>
      </c>
    </row>
    <row r="8449" spans="3:3">
      <c r="C8449">
        <v>194390</v>
      </c>
    </row>
    <row r="8450" spans="3:3">
      <c r="C8450">
        <v>194413</v>
      </c>
    </row>
    <row r="8451" spans="3:3">
      <c r="C8451">
        <v>194437</v>
      </c>
    </row>
    <row r="8452" spans="3:3">
      <c r="C8452">
        <v>194460</v>
      </c>
    </row>
    <row r="8453" spans="3:3">
      <c r="C8453">
        <v>194483</v>
      </c>
    </row>
    <row r="8454" spans="3:3">
      <c r="C8454">
        <v>194506</v>
      </c>
    </row>
    <row r="8455" spans="3:3">
      <c r="C8455">
        <v>194529</v>
      </c>
    </row>
    <row r="8456" spans="3:3">
      <c r="C8456">
        <v>194552</v>
      </c>
    </row>
    <row r="8457" spans="3:3">
      <c r="C8457">
        <v>194575</v>
      </c>
    </row>
    <row r="8458" spans="3:3">
      <c r="C8458">
        <v>194598</v>
      </c>
    </row>
    <row r="8459" spans="3:3">
      <c r="C8459">
        <v>194621</v>
      </c>
    </row>
    <row r="8460" spans="3:3">
      <c r="C8460">
        <v>194644</v>
      </c>
    </row>
    <row r="8461" spans="3:3">
      <c r="C8461">
        <v>194667</v>
      </c>
    </row>
    <row r="8462" spans="3:3">
      <c r="C8462">
        <v>194690</v>
      </c>
    </row>
    <row r="8463" spans="3:3">
      <c r="C8463">
        <v>194713</v>
      </c>
    </row>
    <row r="8464" spans="3:3">
      <c r="C8464">
        <v>194737</v>
      </c>
    </row>
    <row r="8465" spans="3:3">
      <c r="C8465">
        <v>194760</v>
      </c>
    </row>
    <row r="8466" spans="3:3">
      <c r="C8466">
        <v>194783</v>
      </c>
    </row>
    <row r="8467" spans="3:3">
      <c r="C8467">
        <v>194806</v>
      </c>
    </row>
    <row r="8468" spans="3:3">
      <c r="C8468">
        <v>194829</v>
      </c>
    </row>
    <row r="8469" spans="3:3">
      <c r="C8469">
        <v>194852</v>
      </c>
    </row>
    <row r="8470" spans="3:3">
      <c r="C8470">
        <v>194875</v>
      </c>
    </row>
    <row r="8471" spans="3:3">
      <c r="C8471">
        <v>194898</v>
      </c>
    </row>
    <row r="8472" spans="3:3">
      <c r="C8472">
        <v>194921</v>
      </c>
    </row>
    <row r="8473" spans="3:3">
      <c r="C8473">
        <v>194944</v>
      </c>
    </row>
    <row r="8474" spans="3:3">
      <c r="C8474">
        <v>194967</v>
      </c>
    </row>
    <row r="8475" spans="3:3">
      <c r="C8475">
        <v>194990</v>
      </c>
    </row>
    <row r="8476" spans="3:3">
      <c r="C8476">
        <v>195013</v>
      </c>
    </row>
    <row r="8477" spans="3:3">
      <c r="C8477">
        <v>195037</v>
      </c>
    </row>
    <row r="8478" spans="3:3">
      <c r="C8478">
        <v>195060</v>
      </c>
    </row>
    <row r="8479" spans="3:3">
      <c r="C8479">
        <v>195083</v>
      </c>
    </row>
    <row r="8480" spans="3:3">
      <c r="C8480">
        <v>195106</v>
      </c>
    </row>
    <row r="8481" spans="3:3">
      <c r="C8481">
        <v>195129</v>
      </c>
    </row>
    <row r="8482" spans="3:3">
      <c r="C8482">
        <v>195152</v>
      </c>
    </row>
    <row r="8483" spans="3:3">
      <c r="C8483">
        <v>195175</v>
      </c>
    </row>
    <row r="8484" spans="3:3">
      <c r="C8484">
        <v>195198</v>
      </c>
    </row>
    <row r="8485" spans="3:3">
      <c r="C8485">
        <v>195221</v>
      </c>
    </row>
    <row r="8486" spans="3:3">
      <c r="C8486">
        <v>195244</v>
      </c>
    </row>
    <row r="8487" spans="3:3">
      <c r="C8487">
        <v>195267</v>
      </c>
    </row>
    <row r="8488" spans="3:3">
      <c r="C8488">
        <v>195290</v>
      </c>
    </row>
    <row r="8489" spans="3:3">
      <c r="C8489">
        <v>195313</v>
      </c>
    </row>
    <row r="8490" spans="3:3">
      <c r="C8490">
        <v>195337</v>
      </c>
    </row>
    <row r="8491" spans="3:3">
      <c r="C8491">
        <v>195360</v>
      </c>
    </row>
    <row r="8492" spans="3:3">
      <c r="C8492">
        <v>195383</v>
      </c>
    </row>
    <row r="8493" spans="3:3">
      <c r="C8493">
        <v>195406</v>
      </c>
    </row>
    <row r="8494" spans="3:3">
      <c r="C8494">
        <v>195429</v>
      </c>
    </row>
    <row r="8495" spans="3:3">
      <c r="C8495">
        <v>195452</v>
      </c>
    </row>
    <row r="8496" spans="3:3">
      <c r="C8496">
        <v>195475</v>
      </c>
    </row>
    <row r="8497" spans="3:3">
      <c r="C8497">
        <v>195498</v>
      </c>
    </row>
    <row r="8498" spans="3:3">
      <c r="C8498">
        <v>195521</v>
      </c>
    </row>
    <row r="8499" spans="3:3">
      <c r="C8499">
        <v>195544</v>
      </c>
    </row>
    <row r="8500" spans="3:3">
      <c r="C8500">
        <v>195567</v>
      </c>
    </row>
    <row r="8501" spans="3:3">
      <c r="C8501">
        <v>195590</v>
      </c>
    </row>
    <row r="8502" spans="3:3">
      <c r="C8502">
        <v>195613</v>
      </c>
    </row>
    <row r="8503" spans="3:3">
      <c r="C8503">
        <v>195637</v>
      </c>
    </row>
    <row r="8504" spans="3:3">
      <c r="C8504">
        <v>195660</v>
      </c>
    </row>
    <row r="8505" spans="3:3">
      <c r="C8505">
        <v>195683</v>
      </c>
    </row>
    <row r="8506" spans="3:3">
      <c r="C8506">
        <v>195706</v>
      </c>
    </row>
    <row r="8507" spans="3:3">
      <c r="C8507">
        <v>195729</v>
      </c>
    </row>
    <row r="8508" spans="3:3">
      <c r="C8508">
        <v>195752</v>
      </c>
    </row>
    <row r="8509" spans="3:3">
      <c r="C8509">
        <v>195775</v>
      </c>
    </row>
    <row r="8510" spans="3:3">
      <c r="C8510">
        <v>195798</v>
      </c>
    </row>
    <row r="8511" spans="3:3">
      <c r="C8511">
        <v>195821</v>
      </c>
    </row>
    <row r="8512" spans="3:3">
      <c r="C8512">
        <v>195844</v>
      </c>
    </row>
    <row r="8513" spans="3:3">
      <c r="C8513">
        <v>195867</v>
      </c>
    </row>
    <row r="8514" spans="3:3">
      <c r="C8514">
        <v>195890</v>
      </c>
    </row>
    <row r="8515" spans="3:3">
      <c r="C8515">
        <v>195913</v>
      </c>
    </row>
    <row r="8516" spans="3:3">
      <c r="C8516">
        <v>195937</v>
      </c>
    </row>
    <row r="8517" spans="3:3">
      <c r="C8517">
        <v>195960</v>
      </c>
    </row>
    <row r="8518" spans="3:3">
      <c r="C8518">
        <v>195983</v>
      </c>
    </row>
    <row r="8519" spans="3:3">
      <c r="C8519">
        <v>196006</v>
      </c>
    </row>
    <row r="8520" spans="3:3">
      <c r="C8520">
        <v>196029</v>
      </c>
    </row>
    <row r="8521" spans="3:3">
      <c r="C8521">
        <v>196052</v>
      </c>
    </row>
    <row r="8522" spans="3:3">
      <c r="C8522">
        <v>196075</v>
      </c>
    </row>
    <row r="8523" spans="3:3">
      <c r="C8523">
        <v>196098</v>
      </c>
    </row>
    <row r="8524" spans="3:3">
      <c r="C8524">
        <v>196121</v>
      </c>
    </row>
    <row r="8525" spans="3:3">
      <c r="C8525">
        <v>196144</v>
      </c>
    </row>
    <row r="8526" spans="3:3">
      <c r="C8526">
        <v>196167</v>
      </c>
    </row>
    <row r="8527" spans="3:3">
      <c r="C8527">
        <v>196190</v>
      </c>
    </row>
    <row r="8528" spans="3:3">
      <c r="C8528">
        <v>196213</v>
      </c>
    </row>
    <row r="8529" spans="3:3">
      <c r="C8529">
        <v>196237</v>
      </c>
    </row>
    <row r="8530" spans="3:3">
      <c r="C8530">
        <v>196260</v>
      </c>
    </row>
    <row r="8531" spans="3:3">
      <c r="C8531">
        <v>196283</v>
      </c>
    </row>
    <row r="8532" spans="3:3">
      <c r="C8532">
        <v>196306</v>
      </c>
    </row>
    <row r="8533" spans="3:3">
      <c r="C8533">
        <v>196329</v>
      </c>
    </row>
    <row r="8534" spans="3:3">
      <c r="C8534">
        <v>196352</v>
      </c>
    </row>
    <row r="8535" spans="3:3">
      <c r="C8535">
        <v>196375</v>
      </c>
    </row>
    <row r="8536" spans="3:3">
      <c r="C8536">
        <v>196398</v>
      </c>
    </row>
    <row r="8537" spans="3:3">
      <c r="C8537">
        <v>196421</v>
      </c>
    </row>
    <row r="8538" spans="3:3">
      <c r="C8538">
        <v>196444</v>
      </c>
    </row>
    <row r="8539" spans="3:3">
      <c r="C8539">
        <v>196467</v>
      </c>
    </row>
    <row r="8540" spans="3:3">
      <c r="C8540">
        <v>196490</v>
      </c>
    </row>
    <row r="8541" spans="3:3">
      <c r="C8541">
        <v>196513</v>
      </c>
    </row>
    <row r="8542" spans="3:3">
      <c r="C8542">
        <v>196537</v>
      </c>
    </row>
    <row r="8543" spans="3:3">
      <c r="C8543">
        <v>196560</v>
      </c>
    </row>
    <row r="8544" spans="3:3">
      <c r="C8544">
        <v>196583</v>
      </c>
    </row>
    <row r="8545" spans="3:3">
      <c r="C8545">
        <v>196606</v>
      </c>
    </row>
    <row r="8546" spans="3:3">
      <c r="C8546">
        <v>196629</v>
      </c>
    </row>
    <row r="8547" spans="3:3">
      <c r="C8547">
        <v>196652</v>
      </c>
    </row>
    <row r="8548" spans="3:3">
      <c r="C8548">
        <v>196675</v>
      </c>
    </row>
    <row r="8549" spans="3:3">
      <c r="C8549">
        <v>196698</v>
      </c>
    </row>
    <row r="8550" spans="3:3">
      <c r="C8550">
        <v>196721</v>
      </c>
    </row>
    <row r="8551" spans="3:3">
      <c r="C8551">
        <v>196744</v>
      </c>
    </row>
    <row r="8552" spans="3:3">
      <c r="C8552">
        <v>196767</v>
      </c>
    </row>
    <row r="8553" spans="3:3">
      <c r="C8553">
        <v>196790</v>
      </c>
    </row>
    <row r="8554" spans="3:3">
      <c r="C8554">
        <v>196813</v>
      </c>
    </row>
    <row r="8555" spans="3:3">
      <c r="C8555">
        <v>196837</v>
      </c>
    </row>
    <row r="8556" spans="3:3">
      <c r="C8556">
        <v>196860</v>
      </c>
    </row>
    <row r="8557" spans="3:3">
      <c r="C8557">
        <v>196883</v>
      </c>
    </row>
    <row r="8558" spans="3:3">
      <c r="C8558">
        <v>196906</v>
      </c>
    </row>
    <row r="8559" spans="3:3">
      <c r="C8559">
        <v>196929</v>
      </c>
    </row>
    <row r="8560" spans="3:3">
      <c r="C8560">
        <v>196952</v>
      </c>
    </row>
    <row r="8561" spans="3:3">
      <c r="C8561">
        <v>196975</v>
      </c>
    </row>
    <row r="8562" spans="3:3">
      <c r="C8562">
        <v>196998</v>
      </c>
    </row>
    <row r="8563" spans="3:3">
      <c r="C8563">
        <v>197021</v>
      </c>
    </row>
    <row r="8564" spans="3:3">
      <c r="C8564">
        <v>197044</v>
      </c>
    </row>
    <row r="8565" spans="3:3">
      <c r="C8565">
        <v>197067</v>
      </c>
    </row>
    <row r="8566" spans="3:3">
      <c r="C8566">
        <v>197090</v>
      </c>
    </row>
    <row r="8567" spans="3:3">
      <c r="C8567">
        <v>197113</v>
      </c>
    </row>
    <row r="8568" spans="3:3">
      <c r="C8568">
        <v>197137</v>
      </c>
    </row>
    <row r="8569" spans="3:3">
      <c r="C8569">
        <v>197160</v>
      </c>
    </row>
    <row r="8570" spans="3:3">
      <c r="C8570">
        <v>197183</v>
      </c>
    </row>
    <row r="8571" spans="3:3">
      <c r="C8571">
        <v>197206</v>
      </c>
    </row>
    <row r="8572" spans="3:3">
      <c r="C8572">
        <v>197229</v>
      </c>
    </row>
    <row r="8573" spans="3:3">
      <c r="C8573">
        <v>197252</v>
      </c>
    </row>
    <row r="8574" spans="3:3">
      <c r="C8574">
        <v>197275</v>
      </c>
    </row>
    <row r="8575" spans="3:3">
      <c r="C8575">
        <v>197298</v>
      </c>
    </row>
    <row r="8576" spans="3:3">
      <c r="C8576">
        <v>197321</v>
      </c>
    </row>
    <row r="8577" spans="3:3">
      <c r="C8577">
        <v>197344</v>
      </c>
    </row>
    <row r="8578" spans="3:3">
      <c r="C8578">
        <v>197367</v>
      </c>
    </row>
    <row r="8579" spans="3:3">
      <c r="C8579">
        <v>197390</v>
      </c>
    </row>
    <row r="8580" spans="3:3">
      <c r="C8580">
        <v>197413</v>
      </c>
    </row>
    <row r="8581" spans="3:3">
      <c r="C8581">
        <v>197437</v>
      </c>
    </row>
    <row r="8582" spans="3:3">
      <c r="C8582">
        <v>197460</v>
      </c>
    </row>
    <row r="8583" spans="3:3">
      <c r="C8583">
        <v>197483</v>
      </c>
    </row>
    <row r="8584" spans="3:3">
      <c r="C8584">
        <v>197506</v>
      </c>
    </row>
    <row r="8585" spans="3:3">
      <c r="C8585">
        <v>197529</v>
      </c>
    </row>
    <row r="8586" spans="3:3">
      <c r="C8586">
        <v>197552</v>
      </c>
    </row>
    <row r="8587" spans="3:3">
      <c r="C8587">
        <v>197575</v>
      </c>
    </row>
    <row r="8588" spans="3:3">
      <c r="C8588">
        <v>197598</v>
      </c>
    </row>
    <row r="8589" spans="3:3">
      <c r="C8589">
        <v>197621</v>
      </c>
    </row>
    <row r="8590" spans="3:3">
      <c r="C8590">
        <v>197644</v>
      </c>
    </row>
    <row r="8591" spans="3:3">
      <c r="C8591">
        <v>197667</v>
      </c>
    </row>
    <row r="8592" spans="3:3">
      <c r="C8592">
        <v>197690</v>
      </c>
    </row>
    <row r="8593" spans="3:3">
      <c r="C8593">
        <v>197713</v>
      </c>
    </row>
    <row r="8594" spans="3:3">
      <c r="C8594">
        <v>197737</v>
      </c>
    </row>
    <row r="8595" spans="3:3">
      <c r="C8595">
        <v>197760</v>
      </c>
    </row>
    <row r="8596" spans="3:3">
      <c r="C8596">
        <v>197783</v>
      </c>
    </row>
    <row r="8597" spans="3:3">
      <c r="C8597">
        <v>197806</v>
      </c>
    </row>
    <row r="8598" spans="3:3">
      <c r="C8598">
        <v>197829</v>
      </c>
    </row>
    <row r="8599" spans="3:3">
      <c r="C8599">
        <v>197852</v>
      </c>
    </row>
    <row r="8600" spans="3:3">
      <c r="C8600">
        <v>197875</v>
      </c>
    </row>
    <row r="8601" spans="3:3">
      <c r="C8601">
        <v>197898</v>
      </c>
    </row>
    <row r="8602" spans="3:3">
      <c r="C8602">
        <v>197921</v>
      </c>
    </row>
    <row r="8603" spans="3:3">
      <c r="C8603">
        <v>197944</v>
      </c>
    </row>
    <row r="8604" spans="3:3">
      <c r="C8604">
        <v>197967</v>
      </c>
    </row>
    <row r="8605" spans="3:3">
      <c r="C8605">
        <v>197990</v>
      </c>
    </row>
    <row r="8606" spans="3:3">
      <c r="C8606">
        <v>198013</v>
      </c>
    </row>
    <row r="8607" spans="3:3">
      <c r="C8607">
        <v>198037</v>
      </c>
    </row>
    <row r="8608" spans="3:3">
      <c r="C8608">
        <v>198060</v>
      </c>
    </row>
    <row r="8609" spans="3:3">
      <c r="C8609">
        <v>198083</v>
      </c>
    </row>
    <row r="8610" spans="3:3">
      <c r="C8610">
        <v>198106</v>
      </c>
    </row>
    <row r="8611" spans="3:3">
      <c r="C8611">
        <v>198129</v>
      </c>
    </row>
    <row r="8612" spans="3:3">
      <c r="C8612">
        <v>198152</v>
      </c>
    </row>
    <row r="8613" spans="3:3">
      <c r="C8613">
        <v>198175</v>
      </c>
    </row>
    <row r="8614" spans="3:3">
      <c r="C8614">
        <v>198198</v>
      </c>
    </row>
    <row r="8615" spans="3:3">
      <c r="C8615">
        <v>198221</v>
      </c>
    </row>
    <row r="8616" spans="3:3">
      <c r="C8616">
        <v>198244</v>
      </c>
    </row>
    <row r="8617" spans="3:3">
      <c r="C8617">
        <v>198267</v>
      </c>
    </row>
    <row r="8618" spans="3:3">
      <c r="C8618">
        <v>198290</v>
      </c>
    </row>
    <row r="8619" spans="3:3">
      <c r="C8619">
        <v>198313</v>
      </c>
    </row>
    <row r="8620" spans="3:3">
      <c r="C8620">
        <v>198337</v>
      </c>
    </row>
    <row r="8621" spans="3:3">
      <c r="C8621">
        <v>198360</v>
      </c>
    </row>
    <row r="8622" spans="3:3">
      <c r="C8622">
        <v>198383</v>
      </c>
    </row>
    <row r="8623" spans="3:3">
      <c r="C8623">
        <v>198406</v>
      </c>
    </row>
    <row r="8624" spans="3:3">
      <c r="C8624">
        <v>198429</v>
      </c>
    </row>
    <row r="8625" spans="3:3">
      <c r="C8625">
        <v>198452</v>
      </c>
    </row>
    <row r="8626" spans="3:3">
      <c r="C8626">
        <v>198475</v>
      </c>
    </row>
    <row r="8627" spans="3:3">
      <c r="C8627">
        <v>198498</v>
      </c>
    </row>
    <row r="8628" spans="3:3">
      <c r="C8628">
        <v>198521</v>
      </c>
    </row>
    <row r="8629" spans="3:3">
      <c r="C8629">
        <v>198544</v>
      </c>
    </row>
    <row r="8630" spans="3:3">
      <c r="C8630">
        <v>198567</v>
      </c>
    </row>
    <row r="8631" spans="3:3">
      <c r="C8631">
        <v>198590</v>
      </c>
    </row>
    <row r="8632" spans="3:3">
      <c r="C8632">
        <v>198613</v>
      </c>
    </row>
    <row r="8633" spans="3:3">
      <c r="C8633">
        <v>198637</v>
      </c>
    </row>
    <row r="8634" spans="3:3">
      <c r="C8634">
        <v>198660</v>
      </c>
    </row>
    <row r="8635" spans="3:3">
      <c r="C8635">
        <v>198683</v>
      </c>
    </row>
    <row r="8636" spans="3:3">
      <c r="C8636">
        <v>198706</v>
      </c>
    </row>
    <row r="8637" spans="3:3">
      <c r="C8637">
        <v>198729</v>
      </c>
    </row>
    <row r="8638" spans="3:3">
      <c r="C8638">
        <v>198752</v>
      </c>
    </row>
    <row r="8639" spans="3:3">
      <c r="C8639">
        <v>198775</v>
      </c>
    </row>
    <row r="8640" spans="3:3">
      <c r="C8640">
        <v>198798</v>
      </c>
    </row>
    <row r="8641" spans="3:3">
      <c r="C8641">
        <v>198821</v>
      </c>
    </row>
    <row r="8642" spans="3:3">
      <c r="C8642">
        <v>198844</v>
      </c>
    </row>
    <row r="8643" spans="3:3">
      <c r="C8643">
        <v>198867</v>
      </c>
    </row>
    <row r="8644" spans="3:3">
      <c r="C8644">
        <v>198890</v>
      </c>
    </row>
    <row r="8645" spans="3:3">
      <c r="C8645">
        <v>198913</v>
      </c>
    </row>
    <row r="8646" spans="3:3">
      <c r="C8646">
        <v>198937</v>
      </c>
    </row>
    <row r="8647" spans="3:3">
      <c r="C8647">
        <v>198960</v>
      </c>
    </row>
    <row r="8648" spans="3:3">
      <c r="C8648">
        <v>198983</v>
      </c>
    </row>
    <row r="8649" spans="3:3">
      <c r="C8649">
        <v>199006</v>
      </c>
    </row>
    <row r="8650" spans="3:3">
      <c r="C8650">
        <v>199029</v>
      </c>
    </row>
    <row r="8651" spans="3:3">
      <c r="C8651">
        <v>199052</v>
      </c>
    </row>
    <row r="8652" spans="3:3">
      <c r="C8652">
        <v>199075</v>
      </c>
    </row>
    <row r="8653" spans="3:3">
      <c r="C8653">
        <v>199098</v>
      </c>
    </row>
    <row r="8654" spans="3:3">
      <c r="C8654">
        <v>199121</v>
      </c>
    </row>
    <row r="8655" spans="3:3">
      <c r="C8655">
        <v>199144</v>
      </c>
    </row>
    <row r="8656" spans="3:3">
      <c r="C8656">
        <v>199167</v>
      </c>
    </row>
    <row r="8657" spans="3:3">
      <c r="C8657">
        <v>199190</v>
      </c>
    </row>
    <row r="8658" spans="3:3">
      <c r="C8658">
        <v>199213</v>
      </c>
    </row>
    <row r="8659" spans="3:3">
      <c r="C8659">
        <v>199237</v>
      </c>
    </row>
    <row r="8660" spans="3:3">
      <c r="C8660">
        <v>199260</v>
      </c>
    </row>
    <row r="8661" spans="3:3">
      <c r="C8661">
        <v>199283</v>
      </c>
    </row>
    <row r="8662" spans="3:3">
      <c r="C8662">
        <v>199306</v>
      </c>
    </row>
    <row r="8663" spans="3:3">
      <c r="C8663">
        <v>199329</v>
      </c>
    </row>
    <row r="8664" spans="3:3">
      <c r="C8664">
        <v>199352</v>
      </c>
    </row>
    <row r="8665" spans="3:3">
      <c r="C8665">
        <v>199375</v>
      </c>
    </row>
    <row r="8666" spans="3:3">
      <c r="C8666">
        <v>199398</v>
      </c>
    </row>
    <row r="8667" spans="3:3">
      <c r="C8667">
        <v>199421</v>
      </c>
    </row>
    <row r="8668" spans="3:3">
      <c r="C8668">
        <v>199444</v>
      </c>
    </row>
    <row r="8669" spans="3:3">
      <c r="C8669">
        <v>199467</v>
      </c>
    </row>
    <row r="8670" spans="3:3">
      <c r="C8670">
        <v>199490</v>
      </c>
    </row>
    <row r="8671" spans="3:3">
      <c r="C8671">
        <v>199513</v>
      </c>
    </row>
    <row r="8672" spans="3:3">
      <c r="C8672">
        <v>199537</v>
      </c>
    </row>
    <row r="8673" spans="3:3">
      <c r="C8673">
        <v>199560</v>
      </c>
    </row>
    <row r="8674" spans="3:3">
      <c r="C8674">
        <v>199583</v>
      </c>
    </row>
    <row r="8675" spans="3:3">
      <c r="C8675">
        <v>199606</v>
      </c>
    </row>
    <row r="8676" spans="3:3">
      <c r="C8676">
        <v>199629</v>
      </c>
    </row>
    <row r="8677" spans="3:3">
      <c r="C8677">
        <v>199652</v>
      </c>
    </row>
    <row r="8678" spans="3:3">
      <c r="C8678">
        <v>199675</v>
      </c>
    </row>
    <row r="8679" spans="3:3">
      <c r="C8679">
        <v>199698</v>
      </c>
    </row>
    <row r="8680" spans="3:3">
      <c r="C8680">
        <v>199721</v>
      </c>
    </row>
    <row r="8681" spans="3:3">
      <c r="C8681">
        <v>199744</v>
      </c>
    </row>
    <row r="8682" spans="3:3">
      <c r="C8682">
        <v>199767</v>
      </c>
    </row>
    <row r="8683" spans="3:3">
      <c r="C8683">
        <v>199790</v>
      </c>
    </row>
    <row r="8684" spans="3:3">
      <c r="C8684">
        <v>199813</v>
      </c>
    </row>
    <row r="8685" spans="3:3">
      <c r="C8685">
        <v>199837</v>
      </c>
    </row>
    <row r="8686" spans="3:3">
      <c r="C8686">
        <v>199860</v>
      </c>
    </row>
    <row r="8687" spans="3:3">
      <c r="C8687">
        <v>199883</v>
      </c>
    </row>
    <row r="8688" spans="3:3">
      <c r="C8688">
        <v>199906</v>
      </c>
    </row>
    <row r="8689" spans="3:3">
      <c r="C8689">
        <v>199929</v>
      </c>
    </row>
    <row r="8690" spans="3:3">
      <c r="C8690">
        <v>199952</v>
      </c>
    </row>
    <row r="8691" spans="3:3">
      <c r="C8691">
        <v>199975</v>
      </c>
    </row>
    <row r="8692" spans="3:3">
      <c r="C8692">
        <v>199998</v>
      </c>
    </row>
    <row r="8693" spans="3:3">
      <c r="C8693">
        <v>200021</v>
      </c>
    </row>
    <row r="8694" spans="3:3">
      <c r="C8694">
        <v>200044</v>
      </c>
    </row>
    <row r="8695" spans="3:3">
      <c r="C8695">
        <v>200067</v>
      </c>
    </row>
    <row r="8696" spans="3:3">
      <c r="C8696">
        <v>200090</v>
      </c>
    </row>
    <row r="8697" spans="3:3">
      <c r="C8697">
        <v>200113</v>
      </c>
    </row>
    <row r="8698" spans="3:3">
      <c r="C8698">
        <v>200137</v>
      </c>
    </row>
    <row r="8699" spans="3:3">
      <c r="C8699">
        <v>200160</v>
      </c>
    </row>
    <row r="8700" spans="3:3">
      <c r="C8700">
        <v>200183</v>
      </c>
    </row>
    <row r="8701" spans="3:3">
      <c r="C8701">
        <v>200206</v>
      </c>
    </row>
    <row r="8702" spans="3:3">
      <c r="C8702">
        <v>200229</v>
      </c>
    </row>
    <row r="8703" spans="3:3">
      <c r="C8703">
        <v>200252</v>
      </c>
    </row>
    <row r="8704" spans="3:3">
      <c r="C8704">
        <v>200275</v>
      </c>
    </row>
    <row r="8705" spans="3:3">
      <c r="C8705">
        <v>200298</v>
      </c>
    </row>
    <row r="8706" spans="3:3">
      <c r="C8706">
        <v>200321</v>
      </c>
    </row>
    <row r="8707" spans="3:3">
      <c r="C8707">
        <v>200344</v>
      </c>
    </row>
    <row r="8708" spans="3:3">
      <c r="C8708">
        <v>200367</v>
      </c>
    </row>
    <row r="8709" spans="3:3">
      <c r="C8709">
        <v>200390</v>
      </c>
    </row>
    <row r="8710" spans="3:3">
      <c r="C8710">
        <v>200413</v>
      </c>
    </row>
    <row r="8711" spans="3:3">
      <c r="C8711">
        <v>200437</v>
      </c>
    </row>
    <row r="8712" spans="3:3">
      <c r="C8712">
        <v>200460</v>
      </c>
    </row>
    <row r="8713" spans="3:3">
      <c r="C8713">
        <v>200483</v>
      </c>
    </row>
    <row r="8714" spans="3:3">
      <c r="C8714">
        <v>200506</v>
      </c>
    </row>
    <row r="8715" spans="3:3">
      <c r="C8715">
        <v>200529</v>
      </c>
    </row>
    <row r="8716" spans="3:3">
      <c r="C8716">
        <v>200552</v>
      </c>
    </row>
    <row r="8717" spans="3:3">
      <c r="C8717">
        <v>200575</v>
      </c>
    </row>
    <row r="8718" spans="3:3">
      <c r="C8718">
        <v>200598</v>
      </c>
    </row>
    <row r="8719" spans="3:3">
      <c r="C8719">
        <v>200621</v>
      </c>
    </row>
    <row r="8720" spans="3:3">
      <c r="C8720">
        <v>200644</v>
      </c>
    </row>
    <row r="8721" spans="3:3">
      <c r="C8721">
        <v>200667</v>
      </c>
    </row>
    <row r="8722" spans="3:3">
      <c r="C8722">
        <v>200690</v>
      </c>
    </row>
    <row r="8723" spans="3:3">
      <c r="C8723">
        <v>200713</v>
      </c>
    </row>
    <row r="8724" spans="3:3">
      <c r="C8724">
        <v>200737</v>
      </c>
    </row>
    <row r="8725" spans="3:3">
      <c r="C8725">
        <v>200760</v>
      </c>
    </row>
    <row r="8726" spans="3:3">
      <c r="C8726">
        <v>200783</v>
      </c>
    </row>
    <row r="8727" spans="3:3">
      <c r="C8727">
        <v>200806</v>
      </c>
    </row>
    <row r="8728" spans="3:3">
      <c r="C8728">
        <v>200829</v>
      </c>
    </row>
    <row r="8729" spans="3:3">
      <c r="C8729">
        <v>200852</v>
      </c>
    </row>
    <row r="8730" spans="3:3">
      <c r="C8730">
        <v>200875</v>
      </c>
    </row>
    <row r="8731" spans="3:3">
      <c r="C8731">
        <v>200898</v>
      </c>
    </row>
    <row r="8732" spans="3:3">
      <c r="C8732">
        <v>200921</v>
      </c>
    </row>
    <row r="8733" spans="3:3">
      <c r="C8733">
        <v>200944</v>
      </c>
    </row>
    <row r="8734" spans="3:3">
      <c r="C8734">
        <v>200967</v>
      </c>
    </row>
    <row r="8735" spans="3:3">
      <c r="C8735">
        <v>200990</v>
      </c>
    </row>
    <row r="8736" spans="3:3">
      <c r="C8736">
        <v>201013</v>
      </c>
    </row>
    <row r="8737" spans="3:3">
      <c r="C8737">
        <v>201037</v>
      </c>
    </row>
    <row r="8738" spans="3:3">
      <c r="C8738">
        <v>201060</v>
      </c>
    </row>
    <row r="8739" spans="3:3">
      <c r="C8739">
        <v>201083</v>
      </c>
    </row>
    <row r="8740" spans="3:3">
      <c r="C8740">
        <v>201106</v>
      </c>
    </row>
    <row r="8741" spans="3:3">
      <c r="C8741">
        <v>201129</v>
      </c>
    </row>
    <row r="8742" spans="3:3">
      <c r="C8742">
        <v>201152</v>
      </c>
    </row>
    <row r="8743" spans="3:3">
      <c r="C8743">
        <v>201175</v>
      </c>
    </row>
    <row r="8744" spans="3:3">
      <c r="C8744">
        <v>201198</v>
      </c>
    </row>
    <row r="8745" spans="3:3">
      <c r="C8745">
        <v>201221</v>
      </c>
    </row>
    <row r="8746" spans="3:3">
      <c r="C8746">
        <v>201244</v>
      </c>
    </row>
    <row r="8747" spans="3:3">
      <c r="C8747">
        <v>201267</v>
      </c>
    </row>
    <row r="8748" spans="3:3">
      <c r="C8748">
        <v>201290</v>
      </c>
    </row>
    <row r="8749" spans="3:3">
      <c r="C8749">
        <v>201313</v>
      </c>
    </row>
    <row r="8750" spans="3:3">
      <c r="C8750">
        <v>201337</v>
      </c>
    </row>
    <row r="8751" spans="3:3">
      <c r="C8751">
        <v>201360</v>
      </c>
    </row>
    <row r="8752" spans="3:3">
      <c r="C8752">
        <v>201383</v>
      </c>
    </row>
    <row r="8753" spans="3:3">
      <c r="C8753">
        <v>201406</v>
      </c>
    </row>
    <row r="8754" spans="3:3">
      <c r="C8754">
        <v>201429</v>
      </c>
    </row>
    <row r="8755" spans="3:3">
      <c r="C8755">
        <v>201452</v>
      </c>
    </row>
    <row r="8756" spans="3:3">
      <c r="C8756">
        <v>201475</v>
      </c>
    </row>
    <row r="8757" spans="3:3">
      <c r="C8757">
        <v>201498</v>
      </c>
    </row>
    <row r="8758" spans="3:3">
      <c r="C8758">
        <v>201521</v>
      </c>
    </row>
    <row r="8759" spans="3:3">
      <c r="C8759">
        <v>201544</v>
      </c>
    </row>
    <row r="8760" spans="3:3">
      <c r="C8760">
        <v>201567</v>
      </c>
    </row>
    <row r="8761" spans="3:3">
      <c r="C8761">
        <v>201590</v>
      </c>
    </row>
    <row r="8762" spans="3:3">
      <c r="C8762">
        <v>201613</v>
      </c>
    </row>
    <row r="8763" spans="3:3">
      <c r="C8763">
        <v>201637</v>
      </c>
    </row>
    <row r="8764" spans="3:3">
      <c r="C8764">
        <v>201660</v>
      </c>
    </row>
    <row r="8765" spans="3:3">
      <c r="C8765">
        <v>201683</v>
      </c>
    </row>
    <row r="8766" spans="3:3">
      <c r="C8766">
        <v>201706</v>
      </c>
    </row>
    <row r="8767" spans="3:3">
      <c r="C8767">
        <v>201729</v>
      </c>
    </row>
    <row r="8768" spans="3:3">
      <c r="C8768">
        <v>201752</v>
      </c>
    </row>
    <row r="8769" spans="3:3">
      <c r="C8769">
        <v>201775</v>
      </c>
    </row>
    <row r="8770" spans="3:3">
      <c r="C8770">
        <v>201798</v>
      </c>
    </row>
    <row r="8771" spans="3:3">
      <c r="C8771">
        <v>201821</v>
      </c>
    </row>
    <row r="8772" spans="3:3">
      <c r="C8772">
        <v>201844</v>
      </c>
    </row>
    <row r="8773" spans="3:3">
      <c r="C8773">
        <v>201867</v>
      </c>
    </row>
    <row r="8774" spans="3:3">
      <c r="C8774">
        <v>201890</v>
      </c>
    </row>
    <row r="8775" spans="3:3">
      <c r="C8775">
        <v>201913</v>
      </c>
    </row>
    <row r="8776" spans="3:3">
      <c r="C8776">
        <v>201937</v>
      </c>
    </row>
    <row r="8777" spans="3:3">
      <c r="C8777">
        <v>201960</v>
      </c>
    </row>
    <row r="8778" spans="3:3">
      <c r="C8778">
        <v>201983</v>
      </c>
    </row>
    <row r="8779" spans="3:3">
      <c r="C8779">
        <v>202006</v>
      </c>
    </row>
    <row r="8780" spans="3:3">
      <c r="C8780">
        <v>202029</v>
      </c>
    </row>
    <row r="8781" spans="3:3">
      <c r="C8781">
        <v>202052</v>
      </c>
    </row>
    <row r="8782" spans="3:3">
      <c r="C8782">
        <v>202075</v>
      </c>
    </row>
    <row r="8783" spans="3:3">
      <c r="C8783">
        <v>202098</v>
      </c>
    </row>
    <row r="8784" spans="3:3">
      <c r="C8784">
        <v>202121</v>
      </c>
    </row>
    <row r="8785" spans="3:3">
      <c r="C8785">
        <v>202144</v>
      </c>
    </row>
    <row r="8786" spans="3:3">
      <c r="C8786">
        <v>202167</v>
      </c>
    </row>
    <row r="8787" spans="3:3">
      <c r="C8787">
        <v>202190</v>
      </c>
    </row>
    <row r="8788" spans="3:3">
      <c r="C8788">
        <v>202213</v>
      </c>
    </row>
    <row r="8789" spans="3:3">
      <c r="C8789">
        <v>202237</v>
      </c>
    </row>
    <row r="8790" spans="3:3">
      <c r="C8790">
        <v>202260</v>
      </c>
    </row>
    <row r="8791" spans="3:3">
      <c r="C8791">
        <v>202283</v>
      </c>
    </row>
    <row r="8792" spans="3:3">
      <c r="C8792">
        <v>202306</v>
      </c>
    </row>
    <row r="8793" spans="3:3">
      <c r="C8793">
        <v>202329</v>
      </c>
    </row>
    <row r="8794" spans="3:3">
      <c r="C8794">
        <v>202352</v>
      </c>
    </row>
    <row r="8795" spans="3:3">
      <c r="C8795">
        <v>202375</v>
      </c>
    </row>
    <row r="8796" spans="3:3">
      <c r="C8796">
        <v>202398</v>
      </c>
    </row>
    <row r="8797" spans="3:3">
      <c r="C8797">
        <v>202421</v>
      </c>
    </row>
    <row r="8798" spans="3:3">
      <c r="C8798">
        <v>202444</v>
      </c>
    </row>
    <row r="8799" spans="3:3">
      <c r="C8799">
        <v>202467</v>
      </c>
    </row>
    <row r="8800" spans="3:3">
      <c r="C8800">
        <v>202490</v>
      </c>
    </row>
    <row r="8801" spans="3:3">
      <c r="C8801">
        <v>202513</v>
      </c>
    </row>
    <row r="8802" spans="3:3">
      <c r="C8802">
        <v>202537</v>
      </c>
    </row>
    <row r="8803" spans="3:3">
      <c r="C8803">
        <v>202560</v>
      </c>
    </row>
    <row r="8804" spans="3:3">
      <c r="C8804">
        <v>202583</v>
      </c>
    </row>
    <row r="8805" spans="3:3">
      <c r="C8805">
        <v>202606</v>
      </c>
    </row>
    <row r="8806" spans="3:3">
      <c r="C8806">
        <v>202629</v>
      </c>
    </row>
    <row r="8807" spans="3:3">
      <c r="C8807">
        <v>202652</v>
      </c>
    </row>
    <row r="8808" spans="3:3">
      <c r="C8808">
        <v>202675</v>
      </c>
    </row>
    <row r="8809" spans="3:3">
      <c r="C8809">
        <v>202698</v>
      </c>
    </row>
    <row r="8810" spans="3:3">
      <c r="C8810">
        <v>202721</v>
      </c>
    </row>
    <row r="8811" spans="3:3">
      <c r="C8811">
        <v>202744</v>
      </c>
    </row>
    <row r="8812" spans="3:3">
      <c r="C8812">
        <v>202767</v>
      </c>
    </row>
    <row r="8813" spans="3:3">
      <c r="C8813">
        <v>202790</v>
      </c>
    </row>
    <row r="8814" spans="3:3">
      <c r="C8814">
        <v>202813</v>
      </c>
    </row>
    <row r="8815" spans="3:3">
      <c r="C8815">
        <v>202837</v>
      </c>
    </row>
    <row r="8816" spans="3:3">
      <c r="C8816">
        <v>202860</v>
      </c>
    </row>
    <row r="8817" spans="3:3">
      <c r="C8817">
        <v>202883</v>
      </c>
    </row>
    <row r="8818" spans="3:3">
      <c r="C8818">
        <v>202906</v>
      </c>
    </row>
    <row r="8819" spans="3:3">
      <c r="C8819">
        <v>202929</v>
      </c>
    </row>
    <row r="8820" spans="3:3">
      <c r="C8820">
        <v>202952</v>
      </c>
    </row>
    <row r="8821" spans="3:3">
      <c r="C8821">
        <v>202975</v>
      </c>
    </row>
    <row r="8822" spans="3:3">
      <c r="C8822">
        <v>202998</v>
      </c>
    </row>
    <row r="8823" spans="3:3">
      <c r="C8823">
        <v>203021</v>
      </c>
    </row>
    <row r="8824" spans="3:3">
      <c r="C8824">
        <v>203044</v>
      </c>
    </row>
    <row r="8825" spans="3:3">
      <c r="C8825">
        <v>203067</v>
      </c>
    </row>
    <row r="8826" spans="3:3">
      <c r="C8826">
        <v>203090</v>
      </c>
    </row>
    <row r="8827" spans="3:3">
      <c r="C8827">
        <v>203113</v>
      </c>
    </row>
    <row r="8828" spans="3:3">
      <c r="C8828">
        <v>203137</v>
      </c>
    </row>
    <row r="8829" spans="3:3">
      <c r="C8829">
        <v>203160</v>
      </c>
    </row>
    <row r="8830" spans="3:3">
      <c r="C8830">
        <v>203183</v>
      </c>
    </row>
    <row r="8831" spans="3:3">
      <c r="C8831">
        <v>203206</v>
      </c>
    </row>
    <row r="8832" spans="3:3">
      <c r="C8832">
        <v>203229</v>
      </c>
    </row>
    <row r="8833" spans="3:3">
      <c r="C8833">
        <v>203252</v>
      </c>
    </row>
    <row r="8834" spans="3:3">
      <c r="C8834">
        <v>203275</v>
      </c>
    </row>
    <row r="8835" spans="3:3">
      <c r="C8835">
        <v>203298</v>
      </c>
    </row>
    <row r="8836" spans="3:3">
      <c r="C8836">
        <v>203321</v>
      </c>
    </row>
    <row r="8837" spans="3:3">
      <c r="C8837">
        <v>203344</v>
      </c>
    </row>
    <row r="8838" spans="3:3">
      <c r="C8838">
        <v>203367</v>
      </c>
    </row>
    <row r="8839" spans="3:3">
      <c r="C8839">
        <v>203390</v>
      </c>
    </row>
    <row r="8840" spans="3:3">
      <c r="C8840">
        <v>203413</v>
      </c>
    </row>
    <row r="8841" spans="3:3">
      <c r="C8841">
        <v>203437</v>
      </c>
    </row>
    <row r="8842" spans="3:3">
      <c r="C8842">
        <v>203460</v>
      </c>
    </row>
    <row r="8843" spans="3:3">
      <c r="C8843">
        <v>203483</v>
      </c>
    </row>
    <row r="8844" spans="3:3">
      <c r="C8844">
        <v>203506</v>
      </c>
    </row>
    <row r="8845" spans="3:3">
      <c r="C8845">
        <v>203529</v>
      </c>
    </row>
    <row r="8846" spans="3:3">
      <c r="C8846">
        <v>203552</v>
      </c>
    </row>
    <row r="8847" spans="3:3">
      <c r="C8847">
        <v>203575</v>
      </c>
    </row>
    <row r="8848" spans="3:3">
      <c r="C8848">
        <v>203598</v>
      </c>
    </row>
    <row r="8849" spans="3:3">
      <c r="C8849">
        <v>203621</v>
      </c>
    </row>
    <row r="8850" spans="3:3">
      <c r="C8850">
        <v>203644</v>
      </c>
    </row>
    <row r="8851" spans="3:3">
      <c r="C8851">
        <v>203667</v>
      </c>
    </row>
    <row r="8852" spans="3:3">
      <c r="C8852">
        <v>203690</v>
      </c>
    </row>
    <row r="8853" spans="3:3">
      <c r="C8853">
        <v>203713</v>
      </c>
    </row>
    <row r="8854" spans="3:3">
      <c r="C8854">
        <v>203737</v>
      </c>
    </row>
    <row r="8855" spans="3:3">
      <c r="C8855">
        <v>203760</v>
      </c>
    </row>
    <row r="8856" spans="3:3">
      <c r="C8856">
        <v>203783</v>
      </c>
    </row>
    <row r="8857" spans="3:3">
      <c r="C8857">
        <v>203806</v>
      </c>
    </row>
    <row r="8858" spans="3:3">
      <c r="C8858">
        <v>203829</v>
      </c>
    </row>
    <row r="8859" spans="3:3">
      <c r="C8859">
        <v>203852</v>
      </c>
    </row>
    <row r="8860" spans="3:3">
      <c r="C8860">
        <v>203875</v>
      </c>
    </row>
    <row r="8861" spans="3:3">
      <c r="C8861">
        <v>203898</v>
      </c>
    </row>
    <row r="8862" spans="3:3">
      <c r="C8862">
        <v>203921</v>
      </c>
    </row>
    <row r="8863" spans="3:3">
      <c r="C8863">
        <v>203944</v>
      </c>
    </row>
    <row r="8864" spans="3:3">
      <c r="C8864">
        <v>203967</v>
      </c>
    </row>
    <row r="8865" spans="3:3">
      <c r="C8865">
        <v>203990</v>
      </c>
    </row>
    <row r="8866" spans="3:3">
      <c r="C8866">
        <v>204013</v>
      </c>
    </row>
    <row r="8867" spans="3:3">
      <c r="C8867">
        <v>204037</v>
      </c>
    </row>
    <row r="8868" spans="3:3">
      <c r="C8868">
        <v>204060</v>
      </c>
    </row>
    <row r="8869" spans="3:3">
      <c r="C8869">
        <v>204083</v>
      </c>
    </row>
    <row r="8870" spans="3:3">
      <c r="C8870">
        <v>204106</v>
      </c>
    </row>
    <row r="8871" spans="3:3">
      <c r="C8871">
        <v>204129</v>
      </c>
    </row>
    <row r="8872" spans="3:3">
      <c r="C8872">
        <v>204152</v>
      </c>
    </row>
    <row r="8873" spans="3:3">
      <c r="C8873">
        <v>204175</v>
      </c>
    </row>
    <row r="8874" spans="3:3">
      <c r="C8874">
        <v>204198</v>
      </c>
    </row>
    <row r="8875" spans="3:3">
      <c r="C8875">
        <v>204221</v>
      </c>
    </row>
    <row r="8876" spans="3:3">
      <c r="C8876">
        <v>204244</v>
      </c>
    </row>
    <row r="8877" spans="3:3">
      <c r="C8877">
        <v>204267</v>
      </c>
    </row>
    <row r="8878" spans="3:3">
      <c r="C8878">
        <v>204290</v>
      </c>
    </row>
    <row r="8879" spans="3:3">
      <c r="C8879">
        <v>204313</v>
      </c>
    </row>
    <row r="8880" spans="3:3">
      <c r="C8880">
        <v>204337</v>
      </c>
    </row>
    <row r="8881" spans="3:3">
      <c r="C8881">
        <v>204360</v>
      </c>
    </row>
    <row r="8882" spans="3:3">
      <c r="C8882">
        <v>204383</v>
      </c>
    </row>
    <row r="8883" spans="3:3">
      <c r="C8883">
        <v>204406</v>
      </c>
    </row>
    <row r="8884" spans="3:3">
      <c r="C8884">
        <v>204429</v>
      </c>
    </row>
    <row r="8885" spans="3:3">
      <c r="C8885">
        <v>204452</v>
      </c>
    </row>
    <row r="8886" spans="3:3">
      <c r="C8886">
        <v>204475</v>
      </c>
    </row>
    <row r="8887" spans="3:3">
      <c r="C8887">
        <v>204498</v>
      </c>
    </row>
    <row r="8888" spans="3:3">
      <c r="C8888">
        <v>204521</v>
      </c>
    </row>
    <row r="8889" spans="3:3">
      <c r="C8889">
        <v>204544</v>
      </c>
    </row>
    <row r="8890" spans="3:3">
      <c r="C8890">
        <v>204567</v>
      </c>
    </row>
    <row r="8891" spans="3:3">
      <c r="C8891">
        <v>204590</v>
      </c>
    </row>
    <row r="8892" spans="3:3">
      <c r="C8892">
        <v>204613</v>
      </c>
    </row>
    <row r="8893" spans="3:3">
      <c r="C8893">
        <v>204637</v>
      </c>
    </row>
    <row r="8894" spans="3:3">
      <c r="C8894">
        <v>204660</v>
      </c>
    </row>
    <row r="8895" spans="3:3">
      <c r="C8895">
        <v>204683</v>
      </c>
    </row>
    <row r="8896" spans="3:3">
      <c r="C8896">
        <v>204706</v>
      </c>
    </row>
    <row r="8897" spans="3:3">
      <c r="C8897">
        <v>204729</v>
      </c>
    </row>
    <row r="8898" spans="3:3">
      <c r="C8898">
        <v>204752</v>
      </c>
    </row>
    <row r="8899" spans="3:3">
      <c r="C8899">
        <v>204775</v>
      </c>
    </row>
    <row r="8900" spans="3:3">
      <c r="C8900">
        <v>204798</v>
      </c>
    </row>
    <row r="8901" spans="3:3">
      <c r="C8901">
        <v>204821</v>
      </c>
    </row>
    <row r="8902" spans="3:3">
      <c r="C8902">
        <v>204844</v>
      </c>
    </row>
    <row r="8903" spans="3:3">
      <c r="C8903">
        <v>204867</v>
      </c>
    </row>
    <row r="8904" spans="3:3">
      <c r="C8904">
        <v>204890</v>
      </c>
    </row>
    <row r="8905" spans="3:3">
      <c r="C8905">
        <v>204913</v>
      </c>
    </row>
    <row r="8906" spans="3:3">
      <c r="C8906">
        <v>204937</v>
      </c>
    </row>
    <row r="8907" spans="3:3">
      <c r="C8907">
        <v>204960</v>
      </c>
    </row>
    <row r="8908" spans="3:3">
      <c r="C8908">
        <v>204983</v>
      </c>
    </row>
    <row r="8909" spans="3:3">
      <c r="C8909">
        <v>205006</v>
      </c>
    </row>
    <row r="8910" spans="3:3">
      <c r="C8910">
        <v>205029</v>
      </c>
    </row>
    <row r="8911" spans="3:3">
      <c r="C8911">
        <v>205052</v>
      </c>
    </row>
    <row r="8912" spans="3:3">
      <c r="C8912">
        <v>205075</v>
      </c>
    </row>
    <row r="8913" spans="3:3">
      <c r="C8913">
        <v>205098</v>
      </c>
    </row>
    <row r="8914" spans="3:3">
      <c r="C8914">
        <v>205121</v>
      </c>
    </row>
    <row r="8915" spans="3:3">
      <c r="C8915">
        <v>205144</v>
      </c>
    </row>
    <row r="8916" spans="3:3">
      <c r="C8916">
        <v>205167</v>
      </c>
    </row>
    <row r="8917" spans="3:3">
      <c r="C8917">
        <v>205190</v>
      </c>
    </row>
    <row r="8918" spans="3:3">
      <c r="C8918">
        <v>205213</v>
      </c>
    </row>
    <row r="8919" spans="3:3">
      <c r="C8919">
        <v>205237</v>
      </c>
    </row>
    <row r="8920" spans="3:3">
      <c r="C8920">
        <v>205260</v>
      </c>
    </row>
    <row r="8921" spans="3:3">
      <c r="C8921">
        <v>205283</v>
      </c>
    </row>
    <row r="8922" spans="3:3">
      <c r="C8922">
        <v>205306</v>
      </c>
    </row>
    <row r="8923" spans="3:3">
      <c r="C8923">
        <v>205329</v>
      </c>
    </row>
    <row r="8924" spans="3:3">
      <c r="C8924">
        <v>205352</v>
      </c>
    </row>
    <row r="8925" spans="3:3">
      <c r="C8925">
        <v>205375</v>
      </c>
    </row>
    <row r="8926" spans="3:3">
      <c r="C8926">
        <v>205398</v>
      </c>
    </row>
    <row r="8927" spans="3:3">
      <c r="C8927">
        <v>205421</v>
      </c>
    </row>
    <row r="8928" spans="3:3">
      <c r="C8928">
        <v>205444</v>
      </c>
    </row>
    <row r="8929" spans="3:3">
      <c r="C8929">
        <v>205467</v>
      </c>
    </row>
    <row r="8930" spans="3:3">
      <c r="C8930">
        <v>205490</v>
      </c>
    </row>
    <row r="8931" spans="3:3">
      <c r="C8931">
        <v>205513</v>
      </c>
    </row>
    <row r="8932" spans="3:3">
      <c r="C8932">
        <v>205537</v>
      </c>
    </row>
    <row r="8933" spans="3:3">
      <c r="C8933">
        <v>205560</v>
      </c>
    </row>
    <row r="8934" spans="3:3">
      <c r="C8934">
        <v>205583</v>
      </c>
    </row>
    <row r="8935" spans="3:3">
      <c r="C8935">
        <v>205606</v>
      </c>
    </row>
    <row r="8936" spans="3:3">
      <c r="C8936">
        <v>205629</v>
      </c>
    </row>
    <row r="8937" spans="3:3">
      <c r="C8937">
        <v>205652</v>
      </c>
    </row>
    <row r="8938" spans="3:3">
      <c r="C8938">
        <v>205675</v>
      </c>
    </row>
    <row r="8939" spans="3:3">
      <c r="C8939">
        <v>205698</v>
      </c>
    </row>
    <row r="8940" spans="3:3">
      <c r="C8940">
        <v>205721</v>
      </c>
    </row>
    <row r="8941" spans="3:3">
      <c r="C8941">
        <v>205744</v>
      </c>
    </row>
    <row r="8942" spans="3:3">
      <c r="C8942">
        <v>205767</v>
      </c>
    </row>
    <row r="8943" spans="3:3">
      <c r="C8943">
        <v>205790</v>
      </c>
    </row>
    <row r="8944" spans="3:3">
      <c r="C8944">
        <v>205813</v>
      </c>
    </row>
    <row r="8945" spans="3:3">
      <c r="C8945">
        <v>205837</v>
      </c>
    </row>
    <row r="8946" spans="3:3">
      <c r="C8946">
        <v>205860</v>
      </c>
    </row>
    <row r="8947" spans="3:3">
      <c r="C8947">
        <v>205883</v>
      </c>
    </row>
    <row r="8948" spans="3:3">
      <c r="C8948">
        <v>205906</v>
      </c>
    </row>
    <row r="8949" spans="3:3">
      <c r="C8949">
        <v>205929</v>
      </c>
    </row>
    <row r="8950" spans="3:3">
      <c r="C8950">
        <v>205952</v>
      </c>
    </row>
    <row r="8951" spans="3:3">
      <c r="C8951">
        <v>205975</v>
      </c>
    </row>
    <row r="8952" spans="3:3">
      <c r="C8952">
        <v>205998</v>
      </c>
    </row>
    <row r="8953" spans="3:3">
      <c r="C8953">
        <v>206021</v>
      </c>
    </row>
    <row r="8954" spans="3:3">
      <c r="C8954">
        <v>206044</v>
      </c>
    </row>
    <row r="8955" spans="3:3">
      <c r="C8955">
        <v>206067</v>
      </c>
    </row>
    <row r="8956" spans="3:3">
      <c r="C8956">
        <v>206090</v>
      </c>
    </row>
    <row r="8957" spans="3:3">
      <c r="C8957">
        <v>206113</v>
      </c>
    </row>
    <row r="8958" spans="3:3">
      <c r="C8958">
        <v>206137</v>
      </c>
    </row>
    <row r="8959" spans="3:3">
      <c r="C8959">
        <v>206160</v>
      </c>
    </row>
    <row r="8960" spans="3:3">
      <c r="C8960">
        <v>206183</v>
      </c>
    </row>
    <row r="8961" spans="3:3">
      <c r="C8961">
        <v>206206</v>
      </c>
    </row>
    <row r="8962" spans="3:3">
      <c r="C8962">
        <v>206229</v>
      </c>
    </row>
    <row r="8963" spans="3:3">
      <c r="C8963">
        <v>206252</v>
      </c>
    </row>
    <row r="8964" spans="3:3">
      <c r="C8964">
        <v>206275</v>
      </c>
    </row>
    <row r="8965" spans="3:3">
      <c r="C8965">
        <v>206298</v>
      </c>
    </row>
    <row r="8966" spans="3:3">
      <c r="C8966">
        <v>206321</v>
      </c>
    </row>
    <row r="8967" spans="3:3">
      <c r="C8967">
        <v>206344</v>
      </c>
    </row>
    <row r="8968" spans="3:3">
      <c r="C8968">
        <v>206367</v>
      </c>
    </row>
    <row r="8969" spans="3:3">
      <c r="C8969">
        <v>206390</v>
      </c>
    </row>
    <row r="8970" spans="3:3">
      <c r="C8970">
        <v>206413</v>
      </c>
    </row>
    <row r="8971" spans="3:3">
      <c r="C8971">
        <v>206437</v>
      </c>
    </row>
    <row r="8972" spans="3:3">
      <c r="C8972">
        <v>206460</v>
      </c>
    </row>
    <row r="8973" spans="3:3">
      <c r="C8973">
        <v>206483</v>
      </c>
    </row>
    <row r="8974" spans="3:3">
      <c r="C8974">
        <v>206506</v>
      </c>
    </row>
    <row r="8975" spans="3:3">
      <c r="C8975">
        <v>206529</v>
      </c>
    </row>
    <row r="8976" spans="3:3">
      <c r="C8976">
        <v>206552</v>
      </c>
    </row>
    <row r="8977" spans="3:3">
      <c r="C8977">
        <v>206575</v>
      </c>
    </row>
    <row r="8978" spans="3:3">
      <c r="C8978">
        <v>206598</v>
      </c>
    </row>
    <row r="8979" spans="3:3">
      <c r="C8979">
        <v>206621</v>
      </c>
    </row>
    <row r="8980" spans="3:3">
      <c r="C8980">
        <v>206644</v>
      </c>
    </row>
    <row r="8981" spans="3:3">
      <c r="C8981">
        <v>206667</v>
      </c>
    </row>
    <row r="8982" spans="3:3">
      <c r="C8982">
        <v>206690</v>
      </c>
    </row>
    <row r="8983" spans="3:3">
      <c r="C8983">
        <v>206713</v>
      </c>
    </row>
    <row r="8984" spans="3:3">
      <c r="C8984">
        <v>206737</v>
      </c>
    </row>
    <row r="8985" spans="3:3">
      <c r="C8985">
        <v>206760</v>
      </c>
    </row>
    <row r="8986" spans="3:3">
      <c r="C8986">
        <v>206783</v>
      </c>
    </row>
    <row r="8987" spans="3:3">
      <c r="C8987">
        <v>206806</v>
      </c>
    </row>
    <row r="8988" spans="3:3">
      <c r="C8988">
        <v>206829</v>
      </c>
    </row>
    <row r="8989" spans="3:3">
      <c r="C8989">
        <v>206852</v>
      </c>
    </row>
    <row r="8990" spans="3:3">
      <c r="C8990">
        <v>206875</v>
      </c>
    </row>
    <row r="8991" spans="3:3">
      <c r="C8991">
        <v>206898</v>
      </c>
    </row>
    <row r="8992" spans="3:3">
      <c r="C8992">
        <v>206921</v>
      </c>
    </row>
    <row r="8993" spans="3:3">
      <c r="C8993">
        <v>206944</v>
      </c>
    </row>
    <row r="8994" spans="3:3">
      <c r="C8994">
        <v>206967</v>
      </c>
    </row>
    <row r="8995" spans="3:3">
      <c r="C8995">
        <v>206990</v>
      </c>
    </row>
    <row r="8996" spans="3:3">
      <c r="C8996">
        <v>207013</v>
      </c>
    </row>
    <row r="8997" spans="3:3">
      <c r="C8997">
        <v>207037</v>
      </c>
    </row>
    <row r="8998" spans="3:3">
      <c r="C8998">
        <v>207060</v>
      </c>
    </row>
    <row r="8999" spans="3:3">
      <c r="C8999">
        <v>207083</v>
      </c>
    </row>
    <row r="9000" spans="3:3">
      <c r="C9000">
        <v>207106</v>
      </c>
    </row>
    <row r="9001" spans="3:3">
      <c r="C9001">
        <v>207129</v>
      </c>
    </row>
    <row r="9002" spans="3:3">
      <c r="C9002">
        <v>207152</v>
      </c>
    </row>
    <row r="9003" spans="3:3">
      <c r="C9003">
        <v>207175</v>
      </c>
    </row>
    <row r="9004" spans="3:3">
      <c r="C9004">
        <v>207198</v>
      </c>
    </row>
    <row r="9005" spans="3:3">
      <c r="C9005">
        <v>207221</v>
      </c>
    </row>
    <row r="9006" spans="3:3">
      <c r="C9006">
        <v>207244</v>
      </c>
    </row>
    <row r="9007" spans="3:3">
      <c r="C9007">
        <v>207267</v>
      </c>
    </row>
    <row r="9008" spans="3:3">
      <c r="C9008">
        <v>207290</v>
      </c>
    </row>
    <row r="9009" spans="3:3">
      <c r="C9009">
        <v>207313</v>
      </c>
    </row>
    <row r="9010" spans="3:3">
      <c r="C9010">
        <v>207337</v>
      </c>
    </row>
    <row r="9011" spans="3:3">
      <c r="C9011">
        <v>207360</v>
      </c>
    </row>
    <row r="9012" spans="3:3">
      <c r="C9012">
        <v>207383</v>
      </c>
    </row>
    <row r="9013" spans="3:3">
      <c r="C9013">
        <v>207406</v>
      </c>
    </row>
    <row r="9014" spans="3:3">
      <c r="C9014">
        <v>207429</v>
      </c>
    </row>
    <row r="9015" spans="3:3">
      <c r="C9015">
        <v>207452</v>
      </c>
    </row>
    <row r="9016" spans="3:3">
      <c r="C9016">
        <v>207475</v>
      </c>
    </row>
    <row r="9017" spans="3:3">
      <c r="C9017">
        <v>207498</v>
      </c>
    </row>
    <row r="9018" spans="3:3">
      <c r="C9018">
        <v>207521</v>
      </c>
    </row>
    <row r="9019" spans="3:3">
      <c r="C9019">
        <v>207544</v>
      </c>
    </row>
    <row r="9020" spans="3:3">
      <c r="C9020">
        <v>207567</v>
      </c>
    </row>
    <row r="9021" spans="3:3">
      <c r="C9021">
        <v>207590</v>
      </c>
    </row>
    <row r="9022" spans="3:3">
      <c r="C9022">
        <v>207613</v>
      </c>
    </row>
    <row r="9023" spans="3:3">
      <c r="C9023">
        <v>207637</v>
      </c>
    </row>
    <row r="9024" spans="3:3">
      <c r="C9024">
        <v>207660</v>
      </c>
    </row>
    <row r="9025" spans="3:3">
      <c r="C9025">
        <v>207683</v>
      </c>
    </row>
    <row r="9026" spans="3:3">
      <c r="C9026">
        <v>207706</v>
      </c>
    </row>
    <row r="9027" spans="3:3">
      <c r="C9027">
        <v>207729</v>
      </c>
    </row>
    <row r="9028" spans="3:3">
      <c r="C9028">
        <v>207752</v>
      </c>
    </row>
    <row r="9029" spans="3:3">
      <c r="C9029">
        <v>207775</v>
      </c>
    </row>
    <row r="9030" spans="3:3">
      <c r="C9030">
        <v>207798</v>
      </c>
    </row>
    <row r="9031" spans="3:3">
      <c r="C9031">
        <v>207821</v>
      </c>
    </row>
    <row r="9032" spans="3:3">
      <c r="C9032">
        <v>207844</v>
      </c>
    </row>
    <row r="9033" spans="3:3">
      <c r="C9033">
        <v>207867</v>
      </c>
    </row>
    <row r="9034" spans="3:3">
      <c r="C9034">
        <v>207890</v>
      </c>
    </row>
    <row r="9035" spans="3:3">
      <c r="C9035">
        <v>207913</v>
      </c>
    </row>
    <row r="9036" spans="3:3">
      <c r="C9036">
        <v>207937</v>
      </c>
    </row>
    <row r="9037" spans="3:3">
      <c r="C9037">
        <v>207960</v>
      </c>
    </row>
    <row r="9038" spans="3:3">
      <c r="C9038">
        <v>207983</v>
      </c>
    </row>
    <row r="9039" spans="3:3">
      <c r="C9039">
        <v>208006</v>
      </c>
    </row>
    <row r="9040" spans="3:3">
      <c r="C9040">
        <v>208029</v>
      </c>
    </row>
    <row r="9041" spans="3:3">
      <c r="C9041">
        <v>208052</v>
      </c>
    </row>
    <row r="9042" spans="3:3">
      <c r="C9042">
        <v>208075</v>
      </c>
    </row>
    <row r="9043" spans="3:3">
      <c r="C9043">
        <v>208098</v>
      </c>
    </row>
    <row r="9044" spans="3:3">
      <c r="C9044">
        <v>208121</v>
      </c>
    </row>
    <row r="9045" spans="3:3">
      <c r="C9045">
        <v>208144</v>
      </c>
    </row>
    <row r="9046" spans="3:3">
      <c r="C9046">
        <v>208167</v>
      </c>
    </row>
    <row r="9047" spans="3:3">
      <c r="C9047">
        <v>208190</v>
      </c>
    </row>
    <row r="9048" spans="3:3">
      <c r="C9048">
        <v>208213</v>
      </c>
    </row>
    <row r="9049" spans="3:3">
      <c r="C9049">
        <v>208237</v>
      </c>
    </row>
    <row r="9050" spans="3:3">
      <c r="C9050">
        <v>208260</v>
      </c>
    </row>
    <row r="9051" spans="3:3">
      <c r="C9051">
        <v>208283</v>
      </c>
    </row>
    <row r="9052" spans="3:3">
      <c r="C9052">
        <v>208306</v>
      </c>
    </row>
    <row r="9053" spans="3:3">
      <c r="C9053">
        <v>208329</v>
      </c>
    </row>
    <row r="9054" spans="3:3">
      <c r="C9054">
        <v>208352</v>
      </c>
    </row>
    <row r="9055" spans="3:3">
      <c r="C9055">
        <v>208375</v>
      </c>
    </row>
    <row r="9056" spans="3:3">
      <c r="C9056">
        <v>208398</v>
      </c>
    </row>
    <row r="9057" spans="3:3">
      <c r="C9057">
        <v>208421</v>
      </c>
    </row>
    <row r="9058" spans="3:3">
      <c r="C9058">
        <v>208444</v>
      </c>
    </row>
    <row r="9059" spans="3:3">
      <c r="C9059">
        <v>208467</v>
      </c>
    </row>
    <row r="9060" spans="3:3">
      <c r="C9060">
        <v>208490</v>
      </c>
    </row>
    <row r="9061" spans="3:3">
      <c r="C9061">
        <v>208513</v>
      </c>
    </row>
    <row r="9062" spans="3:3">
      <c r="C9062">
        <v>208537</v>
      </c>
    </row>
    <row r="9063" spans="3:3">
      <c r="C9063">
        <v>208560</v>
      </c>
    </row>
    <row r="9064" spans="3:3">
      <c r="C9064">
        <v>208583</v>
      </c>
    </row>
    <row r="9065" spans="3:3">
      <c r="C9065">
        <v>208606</v>
      </c>
    </row>
    <row r="9066" spans="3:3">
      <c r="C9066">
        <v>208629</v>
      </c>
    </row>
    <row r="9067" spans="3:3">
      <c r="C9067">
        <v>208652</v>
      </c>
    </row>
    <row r="9068" spans="3:3">
      <c r="C9068">
        <v>208675</v>
      </c>
    </row>
    <row r="9069" spans="3:3">
      <c r="C9069">
        <v>208698</v>
      </c>
    </row>
    <row r="9070" spans="3:3">
      <c r="C9070">
        <v>208721</v>
      </c>
    </row>
    <row r="9071" spans="3:3">
      <c r="C9071">
        <v>208744</v>
      </c>
    </row>
    <row r="9072" spans="3:3">
      <c r="C9072">
        <v>208767</v>
      </c>
    </row>
    <row r="9073" spans="3:3">
      <c r="C9073">
        <v>208790</v>
      </c>
    </row>
    <row r="9074" spans="3:3">
      <c r="C9074">
        <v>208813</v>
      </c>
    </row>
    <row r="9075" spans="3:3">
      <c r="C9075">
        <v>208837</v>
      </c>
    </row>
    <row r="9076" spans="3:3">
      <c r="C9076">
        <v>208860</v>
      </c>
    </row>
    <row r="9077" spans="3:3">
      <c r="C9077">
        <v>208883</v>
      </c>
    </row>
    <row r="9078" spans="3:3">
      <c r="C9078">
        <v>208906</v>
      </c>
    </row>
    <row r="9079" spans="3:3">
      <c r="C9079">
        <v>208929</v>
      </c>
    </row>
    <row r="9080" spans="3:3">
      <c r="C9080">
        <v>208952</v>
      </c>
    </row>
    <row r="9081" spans="3:3">
      <c r="C9081">
        <v>208975</v>
      </c>
    </row>
    <row r="9082" spans="3:3">
      <c r="C9082">
        <v>208998</v>
      </c>
    </row>
    <row r="9083" spans="3:3">
      <c r="C9083">
        <v>209021</v>
      </c>
    </row>
    <row r="9084" spans="3:3">
      <c r="C9084">
        <v>209044</v>
      </c>
    </row>
    <row r="9085" spans="3:3">
      <c r="C9085">
        <v>209067</v>
      </c>
    </row>
    <row r="9086" spans="3:3">
      <c r="C9086">
        <v>209090</v>
      </c>
    </row>
    <row r="9087" spans="3:3">
      <c r="C9087">
        <v>209113</v>
      </c>
    </row>
    <row r="9088" spans="3:3">
      <c r="C9088">
        <v>209137</v>
      </c>
    </row>
    <row r="9089" spans="3:3">
      <c r="C9089">
        <v>209160</v>
      </c>
    </row>
    <row r="9090" spans="3:3">
      <c r="C9090">
        <v>209183</v>
      </c>
    </row>
    <row r="9091" spans="3:3">
      <c r="C9091">
        <v>209206</v>
      </c>
    </row>
    <row r="9092" spans="3:3">
      <c r="C9092">
        <v>209229</v>
      </c>
    </row>
    <row r="9093" spans="3:3">
      <c r="C9093">
        <v>209252</v>
      </c>
    </row>
    <row r="9094" spans="3:3">
      <c r="C9094">
        <v>209275</v>
      </c>
    </row>
    <row r="9095" spans="3:3">
      <c r="C9095">
        <v>209298</v>
      </c>
    </row>
    <row r="9096" spans="3:3">
      <c r="C9096">
        <v>209321</v>
      </c>
    </row>
    <row r="9097" spans="3:3">
      <c r="C9097">
        <v>209344</v>
      </c>
    </row>
    <row r="9098" spans="3:3">
      <c r="C9098">
        <v>209367</v>
      </c>
    </row>
    <row r="9099" spans="3:3">
      <c r="C9099">
        <v>209390</v>
      </c>
    </row>
    <row r="9100" spans="3:3">
      <c r="C9100">
        <v>209413</v>
      </c>
    </row>
    <row r="9101" spans="3:3">
      <c r="C9101">
        <v>209437</v>
      </c>
    </row>
    <row r="9102" spans="3:3">
      <c r="C9102">
        <v>209460</v>
      </c>
    </row>
    <row r="9103" spans="3:3">
      <c r="C9103">
        <v>209483</v>
      </c>
    </row>
    <row r="9104" spans="3:3">
      <c r="C9104">
        <v>209506</v>
      </c>
    </row>
    <row r="9105" spans="3:3">
      <c r="C9105">
        <v>209529</v>
      </c>
    </row>
    <row r="9106" spans="3:3">
      <c r="C9106">
        <v>209552</v>
      </c>
    </row>
    <row r="9107" spans="3:3">
      <c r="C9107">
        <v>209575</v>
      </c>
    </row>
    <row r="9108" spans="3:3">
      <c r="C9108">
        <v>209598</v>
      </c>
    </row>
    <row r="9109" spans="3:3">
      <c r="C9109">
        <v>209621</v>
      </c>
    </row>
    <row r="9110" spans="3:3">
      <c r="C9110">
        <v>209644</v>
      </c>
    </row>
    <row r="9111" spans="3:3">
      <c r="C9111">
        <v>209667</v>
      </c>
    </row>
    <row r="9112" spans="3:3">
      <c r="C9112">
        <v>209690</v>
      </c>
    </row>
    <row r="9113" spans="3:3">
      <c r="C9113">
        <v>209713</v>
      </c>
    </row>
    <row r="9114" spans="3:3">
      <c r="C9114">
        <v>209737</v>
      </c>
    </row>
    <row r="9115" spans="3:3">
      <c r="C9115">
        <v>209760</v>
      </c>
    </row>
    <row r="9116" spans="3:3">
      <c r="C9116">
        <v>209783</v>
      </c>
    </row>
    <row r="9117" spans="3:3">
      <c r="C9117">
        <v>209806</v>
      </c>
    </row>
    <row r="9118" spans="3:3">
      <c r="C9118">
        <v>209829</v>
      </c>
    </row>
    <row r="9119" spans="3:3">
      <c r="C9119">
        <v>209852</v>
      </c>
    </row>
    <row r="9120" spans="3:3">
      <c r="C9120">
        <v>209875</v>
      </c>
    </row>
    <row r="9121" spans="3:3">
      <c r="C9121">
        <v>209898</v>
      </c>
    </row>
    <row r="9122" spans="3:3">
      <c r="C9122">
        <v>209921</v>
      </c>
    </row>
    <row r="9123" spans="3:3">
      <c r="C9123">
        <v>209944</v>
      </c>
    </row>
    <row r="9124" spans="3:3">
      <c r="C9124">
        <v>209967</v>
      </c>
    </row>
    <row r="9125" spans="3:3">
      <c r="C9125">
        <v>209990</v>
      </c>
    </row>
    <row r="9126" spans="3:3">
      <c r="C9126">
        <v>210013</v>
      </c>
    </row>
    <row r="9127" spans="3:3">
      <c r="C9127">
        <v>210037</v>
      </c>
    </row>
    <row r="9128" spans="3:3">
      <c r="C9128">
        <v>210060</v>
      </c>
    </row>
    <row r="9129" spans="3:3">
      <c r="C9129">
        <v>210083</v>
      </c>
    </row>
    <row r="9130" spans="3:3">
      <c r="C9130">
        <v>210106</v>
      </c>
    </row>
    <row r="9131" spans="3:3">
      <c r="C9131">
        <v>210129</v>
      </c>
    </row>
    <row r="9132" spans="3:3">
      <c r="C9132">
        <v>210152</v>
      </c>
    </row>
    <row r="9133" spans="3:3">
      <c r="C9133">
        <v>210175</v>
      </c>
    </row>
    <row r="9134" spans="3:3">
      <c r="C9134">
        <v>210198</v>
      </c>
    </row>
    <row r="9135" spans="3:3">
      <c r="C9135">
        <v>210221</v>
      </c>
    </row>
    <row r="9136" spans="3:3">
      <c r="C9136">
        <v>210244</v>
      </c>
    </row>
    <row r="9137" spans="3:3">
      <c r="C9137">
        <v>210267</v>
      </c>
    </row>
    <row r="9138" spans="3:3">
      <c r="C9138">
        <v>210290</v>
      </c>
    </row>
    <row r="9139" spans="3:3">
      <c r="C9139">
        <v>210313</v>
      </c>
    </row>
    <row r="9140" spans="3:3">
      <c r="C9140">
        <v>210337</v>
      </c>
    </row>
    <row r="9141" spans="3:3">
      <c r="C9141">
        <v>210360</v>
      </c>
    </row>
    <row r="9142" spans="3:3">
      <c r="C9142">
        <v>210383</v>
      </c>
    </row>
    <row r="9143" spans="3:3">
      <c r="C9143">
        <v>210406</v>
      </c>
    </row>
    <row r="9144" spans="3:3">
      <c r="C9144">
        <v>210429</v>
      </c>
    </row>
    <row r="9145" spans="3:3">
      <c r="C9145">
        <v>210452</v>
      </c>
    </row>
    <row r="9146" spans="3:3">
      <c r="C9146">
        <v>210475</v>
      </c>
    </row>
    <row r="9147" spans="3:3">
      <c r="C9147">
        <v>210498</v>
      </c>
    </row>
    <row r="9148" spans="3:3">
      <c r="C9148">
        <v>210521</v>
      </c>
    </row>
    <row r="9149" spans="3:3">
      <c r="C9149">
        <v>210544</v>
      </c>
    </row>
    <row r="9150" spans="3:3">
      <c r="C9150">
        <v>210567</v>
      </c>
    </row>
    <row r="9151" spans="3:3">
      <c r="C9151">
        <v>210590</v>
      </c>
    </row>
    <row r="9152" spans="3:3">
      <c r="C9152">
        <v>210613</v>
      </c>
    </row>
    <row r="9153" spans="3:3">
      <c r="C9153">
        <v>210637</v>
      </c>
    </row>
    <row r="9154" spans="3:3">
      <c r="C9154">
        <v>210660</v>
      </c>
    </row>
    <row r="9155" spans="3:3">
      <c r="C9155">
        <v>210683</v>
      </c>
    </row>
    <row r="9156" spans="3:3">
      <c r="C9156">
        <v>210706</v>
      </c>
    </row>
    <row r="9157" spans="3:3">
      <c r="C9157">
        <v>210729</v>
      </c>
    </row>
    <row r="9158" spans="3:3">
      <c r="C9158">
        <v>210752</v>
      </c>
    </row>
    <row r="9159" spans="3:3">
      <c r="C9159">
        <v>210775</v>
      </c>
    </row>
    <row r="9160" spans="3:3">
      <c r="C9160">
        <v>210798</v>
      </c>
    </row>
    <row r="9161" spans="3:3">
      <c r="C9161">
        <v>210821</v>
      </c>
    </row>
    <row r="9162" spans="3:3">
      <c r="C9162">
        <v>210844</v>
      </c>
    </row>
    <row r="9163" spans="3:3">
      <c r="C9163">
        <v>210867</v>
      </c>
    </row>
    <row r="9164" spans="3:3">
      <c r="C9164">
        <v>210890</v>
      </c>
    </row>
    <row r="9165" spans="3:3">
      <c r="C9165">
        <v>210913</v>
      </c>
    </row>
    <row r="9166" spans="3:3">
      <c r="C9166">
        <v>210937</v>
      </c>
    </row>
    <row r="9167" spans="3:3">
      <c r="C9167">
        <v>210960</v>
      </c>
    </row>
    <row r="9168" spans="3:3">
      <c r="C9168">
        <v>210983</v>
      </c>
    </row>
    <row r="9169" spans="3:3">
      <c r="C9169">
        <v>211006</v>
      </c>
    </row>
    <row r="9170" spans="3:3">
      <c r="C9170">
        <v>211029</v>
      </c>
    </row>
    <row r="9171" spans="3:3">
      <c r="C9171">
        <v>211052</v>
      </c>
    </row>
    <row r="9172" spans="3:3">
      <c r="C9172">
        <v>211075</v>
      </c>
    </row>
    <row r="9173" spans="3:3">
      <c r="C9173">
        <v>211098</v>
      </c>
    </row>
    <row r="9174" spans="3:3">
      <c r="C9174">
        <v>211121</v>
      </c>
    </row>
    <row r="9175" spans="3:3">
      <c r="C9175">
        <v>211144</v>
      </c>
    </row>
    <row r="9176" spans="3:3">
      <c r="C9176">
        <v>211167</v>
      </c>
    </row>
    <row r="9177" spans="3:3">
      <c r="C9177">
        <v>211190</v>
      </c>
    </row>
    <row r="9178" spans="3:3">
      <c r="C9178">
        <v>211213</v>
      </c>
    </row>
    <row r="9179" spans="3:3">
      <c r="C9179">
        <v>211237</v>
      </c>
    </row>
    <row r="9180" spans="3:3">
      <c r="C9180">
        <v>211260</v>
      </c>
    </row>
    <row r="9181" spans="3:3">
      <c r="C9181">
        <v>211283</v>
      </c>
    </row>
    <row r="9182" spans="3:3">
      <c r="C9182">
        <v>211306</v>
      </c>
    </row>
    <row r="9183" spans="3:3">
      <c r="C9183">
        <v>211329</v>
      </c>
    </row>
    <row r="9184" spans="3:3">
      <c r="C9184">
        <v>211352</v>
      </c>
    </row>
    <row r="9185" spans="3:3">
      <c r="C9185">
        <v>211375</v>
      </c>
    </row>
    <row r="9186" spans="3:3">
      <c r="C9186">
        <v>211398</v>
      </c>
    </row>
    <row r="9187" spans="3:3">
      <c r="C9187">
        <v>211421</v>
      </c>
    </row>
    <row r="9188" spans="3:3">
      <c r="C9188">
        <v>211444</v>
      </c>
    </row>
    <row r="9189" spans="3:3">
      <c r="C9189">
        <v>211467</v>
      </c>
    </row>
    <row r="9190" spans="3:3">
      <c r="C9190">
        <v>211490</v>
      </c>
    </row>
    <row r="9191" spans="3:3">
      <c r="C9191">
        <v>211513</v>
      </c>
    </row>
    <row r="9192" spans="3:3">
      <c r="C9192">
        <v>211537</v>
      </c>
    </row>
    <row r="9193" spans="3:3">
      <c r="C9193">
        <v>211560</v>
      </c>
    </row>
    <row r="9194" spans="3:3">
      <c r="C9194">
        <v>211583</v>
      </c>
    </row>
    <row r="9195" spans="3:3">
      <c r="C9195">
        <v>211606</v>
      </c>
    </row>
    <row r="9196" spans="3:3">
      <c r="C9196">
        <v>211629</v>
      </c>
    </row>
    <row r="9197" spans="3:3">
      <c r="C9197">
        <v>211652</v>
      </c>
    </row>
    <row r="9198" spans="3:3">
      <c r="C9198">
        <v>211675</v>
      </c>
    </row>
    <row r="9199" spans="3:3">
      <c r="C9199">
        <v>211698</v>
      </c>
    </row>
    <row r="9200" spans="3:3">
      <c r="C9200">
        <v>211721</v>
      </c>
    </row>
    <row r="9201" spans="3:3">
      <c r="C9201">
        <v>211744</v>
      </c>
    </row>
    <row r="9202" spans="3:3">
      <c r="C9202">
        <v>211767</v>
      </c>
    </row>
    <row r="9203" spans="3:3">
      <c r="C9203">
        <v>211790</v>
      </c>
    </row>
    <row r="9204" spans="3:3">
      <c r="C9204">
        <v>211813</v>
      </c>
    </row>
    <row r="9205" spans="3:3">
      <c r="C9205">
        <v>211837</v>
      </c>
    </row>
    <row r="9206" spans="3:3">
      <c r="C9206">
        <v>211860</v>
      </c>
    </row>
    <row r="9207" spans="3:3">
      <c r="C9207">
        <v>211883</v>
      </c>
    </row>
    <row r="9208" spans="3:3">
      <c r="C9208">
        <v>211906</v>
      </c>
    </row>
    <row r="9209" spans="3:3">
      <c r="C9209">
        <v>211929</v>
      </c>
    </row>
    <row r="9210" spans="3:3">
      <c r="C9210">
        <v>211952</v>
      </c>
    </row>
    <row r="9211" spans="3:3">
      <c r="C9211">
        <v>211975</v>
      </c>
    </row>
    <row r="9212" spans="3:3">
      <c r="C9212">
        <v>211998</v>
      </c>
    </row>
    <row r="9213" spans="3:3">
      <c r="C9213">
        <v>212021</v>
      </c>
    </row>
    <row r="9214" spans="3:3">
      <c r="C9214">
        <v>212044</v>
      </c>
    </row>
    <row r="9215" spans="3:3">
      <c r="C9215">
        <v>212067</v>
      </c>
    </row>
    <row r="9216" spans="3:3">
      <c r="C9216">
        <v>212090</v>
      </c>
    </row>
    <row r="9217" spans="3:3">
      <c r="C9217">
        <v>212113</v>
      </c>
    </row>
    <row r="9218" spans="3:3">
      <c r="C9218">
        <v>212137</v>
      </c>
    </row>
    <row r="9219" spans="3:3">
      <c r="C9219">
        <v>212160</v>
      </c>
    </row>
    <row r="9220" spans="3:3">
      <c r="C9220">
        <v>212183</v>
      </c>
    </row>
    <row r="9221" spans="3:3">
      <c r="C9221">
        <v>212206</v>
      </c>
    </row>
    <row r="9222" spans="3:3">
      <c r="C9222">
        <v>212229</v>
      </c>
    </row>
    <row r="9223" spans="3:3">
      <c r="C9223">
        <v>212252</v>
      </c>
    </row>
    <row r="9224" spans="3:3">
      <c r="C9224">
        <v>212275</v>
      </c>
    </row>
    <row r="9225" spans="3:3">
      <c r="C9225">
        <v>212298</v>
      </c>
    </row>
    <row r="9226" spans="3:3">
      <c r="C9226">
        <v>212321</v>
      </c>
    </row>
    <row r="9227" spans="3:3">
      <c r="C9227">
        <v>212344</v>
      </c>
    </row>
    <row r="9228" spans="3:3">
      <c r="C9228">
        <v>212367</v>
      </c>
    </row>
    <row r="9229" spans="3:3">
      <c r="C9229">
        <v>212390</v>
      </c>
    </row>
    <row r="9230" spans="3:3">
      <c r="C9230">
        <v>212413</v>
      </c>
    </row>
    <row r="9231" spans="3:3">
      <c r="C9231">
        <v>212437</v>
      </c>
    </row>
    <row r="9232" spans="3:3">
      <c r="C9232">
        <v>212460</v>
      </c>
    </row>
    <row r="9233" spans="3:3">
      <c r="C9233">
        <v>212483</v>
      </c>
    </row>
    <row r="9234" spans="3:3">
      <c r="C9234">
        <v>212506</v>
      </c>
    </row>
    <row r="9235" spans="3:3">
      <c r="C9235">
        <v>212529</v>
      </c>
    </row>
    <row r="9236" spans="3:3">
      <c r="C9236">
        <v>212552</v>
      </c>
    </row>
    <row r="9237" spans="3:3">
      <c r="C9237">
        <v>212575</v>
      </c>
    </row>
    <row r="9238" spans="3:3">
      <c r="C9238">
        <v>212598</v>
      </c>
    </row>
    <row r="9239" spans="3:3">
      <c r="C9239">
        <v>212621</v>
      </c>
    </row>
    <row r="9240" spans="3:3">
      <c r="C9240">
        <v>212644</v>
      </c>
    </row>
    <row r="9241" spans="3:3">
      <c r="C9241">
        <v>212667</v>
      </c>
    </row>
    <row r="9242" spans="3:3">
      <c r="C9242">
        <v>212690</v>
      </c>
    </row>
    <row r="9243" spans="3:3">
      <c r="C9243">
        <v>212713</v>
      </c>
    </row>
    <row r="9244" spans="3:3">
      <c r="C9244">
        <v>212737</v>
      </c>
    </row>
    <row r="9245" spans="3:3">
      <c r="C9245">
        <v>212760</v>
      </c>
    </row>
    <row r="9246" spans="3:3">
      <c r="C9246">
        <v>212783</v>
      </c>
    </row>
    <row r="9247" spans="3:3">
      <c r="C9247">
        <v>212806</v>
      </c>
    </row>
    <row r="9248" spans="3:3">
      <c r="C9248">
        <v>212829</v>
      </c>
    </row>
    <row r="9249" spans="3:3">
      <c r="C9249">
        <v>212852</v>
      </c>
    </row>
    <row r="9250" spans="3:3">
      <c r="C9250">
        <v>212875</v>
      </c>
    </row>
    <row r="9251" spans="3:3">
      <c r="C9251">
        <v>212898</v>
      </c>
    </row>
    <row r="9252" spans="3:3">
      <c r="C9252">
        <v>212921</v>
      </c>
    </row>
    <row r="9253" spans="3:3">
      <c r="C9253">
        <v>212944</v>
      </c>
    </row>
    <row r="9254" spans="3:3">
      <c r="C9254">
        <v>212967</v>
      </c>
    </row>
    <row r="9255" spans="3:3">
      <c r="C9255">
        <v>212990</v>
      </c>
    </row>
    <row r="9256" spans="3:3">
      <c r="C9256">
        <v>213013</v>
      </c>
    </row>
    <row r="9257" spans="3:3">
      <c r="C9257">
        <v>213037</v>
      </c>
    </row>
    <row r="9258" spans="3:3">
      <c r="C9258">
        <v>213060</v>
      </c>
    </row>
    <row r="9259" spans="3:3">
      <c r="C9259">
        <v>213083</v>
      </c>
    </row>
    <row r="9260" spans="3:3">
      <c r="C9260">
        <v>213106</v>
      </c>
    </row>
    <row r="9261" spans="3:3">
      <c r="C9261">
        <v>213129</v>
      </c>
    </row>
    <row r="9262" spans="3:3">
      <c r="C9262">
        <v>213152</v>
      </c>
    </row>
    <row r="9263" spans="3:3">
      <c r="C9263">
        <v>213175</v>
      </c>
    </row>
    <row r="9264" spans="3:3">
      <c r="C9264">
        <v>213198</v>
      </c>
    </row>
    <row r="9265" spans="3:3">
      <c r="C9265">
        <v>213221</v>
      </c>
    </row>
    <row r="9266" spans="3:3">
      <c r="C9266">
        <v>213244</v>
      </c>
    </row>
    <row r="9267" spans="3:3">
      <c r="C9267">
        <v>213267</v>
      </c>
    </row>
    <row r="9268" spans="3:3">
      <c r="C9268">
        <v>213290</v>
      </c>
    </row>
    <row r="9269" spans="3:3">
      <c r="C9269">
        <v>213313</v>
      </c>
    </row>
    <row r="9270" spans="3:3">
      <c r="C9270">
        <v>213337</v>
      </c>
    </row>
    <row r="9271" spans="3:3">
      <c r="C9271">
        <v>213360</v>
      </c>
    </row>
    <row r="9272" spans="3:3">
      <c r="C9272">
        <v>213383</v>
      </c>
    </row>
    <row r="9273" spans="3:3">
      <c r="C9273">
        <v>213406</v>
      </c>
    </row>
    <row r="9274" spans="3:3">
      <c r="C9274">
        <v>213429</v>
      </c>
    </row>
    <row r="9275" spans="3:3">
      <c r="C9275">
        <v>213452</v>
      </c>
    </row>
    <row r="9276" spans="3:3">
      <c r="C9276">
        <v>213475</v>
      </c>
    </row>
    <row r="9277" spans="3:3">
      <c r="C9277">
        <v>213498</v>
      </c>
    </row>
    <row r="9278" spans="3:3">
      <c r="C9278">
        <v>213521</v>
      </c>
    </row>
    <row r="9279" spans="3:3">
      <c r="C9279">
        <v>213544</v>
      </c>
    </row>
    <row r="9280" spans="3:3">
      <c r="C9280">
        <v>213567</v>
      </c>
    </row>
    <row r="9281" spans="3:3">
      <c r="C9281">
        <v>213590</v>
      </c>
    </row>
    <row r="9282" spans="3:3">
      <c r="C9282">
        <v>213613</v>
      </c>
    </row>
    <row r="9283" spans="3:3">
      <c r="C9283">
        <v>213637</v>
      </c>
    </row>
    <row r="9284" spans="3:3">
      <c r="C9284">
        <v>213660</v>
      </c>
    </row>
    <row r="9285" spans="3:3">
      <c r="C9285">
        <v>213683</v>
      </c>
    </row>
    <row r="9286" spans="3:3">
      <c r="C9286">
        <v>213706</v>
      </c>
    </row>
    <row r="9287" spans="3:3">
      <c r="C9287">
        <v>213729</v>
      </c>
    </row>
    <row r="9288" spans="3:3">
      <c r="C9288">
        <v>213752</v>
      </c>
    </row>
    <row r="9289" spans="3:3">
      <c r="C9289">
        <v>213775</v>
      </c>
    </row>
    <row r="9290" spans="3:3">
      <c r="C9290">
        <v>213798</v>
      </c>
    </row>
    <row r="9291" spans="3:3">
      <c r="C9291">
        <v>213821</v>
      </c>
    </row>
    <row r="9292" spans="3:3">
      <c r="C9292">
        <v>213844</v>
      </c>
    </row>
    <row r="9293" spans="3:3">
      <c r="C9293">
        <v>213867</v>
      </c>
    </row>
    <row r="9294" spans="3:3">
      <c r="C9294">
        <v>213890</v>
      </c>
    </row>
    <row r="9295" spans="3:3">
      <c r="C9295">
        <v>213913</v>
      </c>
    </row>
    <row r="9296" spans="3:3">
      <c r="C9296">
        <v>213937</v>
      </c>
    </row>
    <row r="9297" spans="3:3">
      <c r="C9297">
        <v>213960</v>
      </c>
    </row>
    <row r="9298" spans="3:3">
      <c r="C9298">
        <v>213983</v>
      </c>
    </row>
    <row r="9299" spans="3:3">
      <c r="C9299">
        <v>214006</v>
      </c>
    </row>
    <row r="9300" spans="3:3">
      <c r="C9300">
        <v>214029</v>
      </c>
    </row>
    <row r="9301" spans="3:3">
      <c r="C9301">
        <v>214052</v>
      </c>
    </row>
    <row r="9302" spans="3:3">
      <c r="C9302">
        <v>214075</v>
      </c>
    </row>
    <row r="9303" spans="3:3">
      <c r="C9303">
        <v>214098</v>
      </c>
    </row>
    <row r="9304" spans="3:3">
      <c r="C9304">
        <v>214121</v>
      </c>
    </row>
    <row r="9305" spans="3:3">
      <c r="C9305">
        <v>214144</v>
      </c>
    </row>
    <row r="9306" spans="3:3">
      <c r="C9306">
        <v>214167</v>
      </c>
    </row>
    <row r="9307" spans="3:3">
      <c r="C9307">
        <v>214190</v>
      </c>
    </row>
    <row r="9308" spans="3:3">
      <c r="C9308">
        <v>214213</v>
      </c>
    </row>
    <row r="9309" spans="3:3">
      <c r="C9309">
        <v>214237</v>
      </c>
    </row>
    <row r="9310" spans="3:3">
      <c r="C9310">
        <v>214260</v>
      </c>
    </row>
    <row r="9311" spans="3:3">
      <c r="C9311">
        <v>214283</v>
      </c>
    </row>
    <row r="9312" spans="3:3">
      <c r="C9312">
        <v>214306</v>
      </c>
    </row>
    <row r="9313" spans="3:3">
      <c r="C9313">
        <v>214329</v>
      </c>
    </row>
    <row r="9314" spans="3:3">
      <c r="C9314">
        <v>214352</v>
      </c>
    </row>
    <row r="9315" spans="3:3">
      <c r="C9315">
        <v>214375</v>
      </c>
    </row>
    <row r="9316" spans="3:3">
      <c r="C9316">
        <v>214398</v>
      </c>
    </row>
    <row r="9317" spans="3:3">
      <c r="C9317">
        <v>214421</v>
      </c>
    </row>
    <row r="9318" spans="3:3">
      <c r="C9318">
        <v>214444</v>
      </c>
    </row>
    <row r="9319" spans="3:3">
      <c r="C9319">
        <v>214467</v>
      </c>
    </row>
    <row r="9320" spans="3:3">
      <c r="C9320">
        <v>214490</v>
      </c>
    </row>
    <row r="9321" spans="3:3">
      <c r="C9321">
        <v>214513</v>
      </c>
    </row>
    <row r="9322" spans="3:3">
      <c r="C9322">
        <v>214537</v>
      </c>
    </row>
    <row r="9323" spans="3:3">
      <c r="C9323">
        <v>214560</v>
      </c>
    </row>
    <row r="9324" spans="3:3">
      <c r="C9324">
        <v>214583</v>
      </c>
    </row>
    <row r="9325" spans="3:3">
      <c r="C9325">
        <v>214606</v>
      </c>
    </row>
    <row r="9326" spans="3:3">
      <c r="C9326">
        <v>214629</v>
      </c>
    </row>
    <row r="9327" spans="3:3">
      <c r="C9327">
        <v>214652</v>
      </c>
    </row>
    <row r="9328" spans="3:3">
      <c r="C9328">
        <v>214675</v>
      </c>
    </row>
    <row r="9329" spans="3:3">
      <c r="C9329">
        <v>214698</v>
      </c>
    </row>
    <row r="9330" spans="3:3">
      <c r="C9330">
        <v>214721</v>
      </c>
    </row>
    <row r="9331" spans="3:3">
      <c r="C9331">
        <v>214744</v>
      </c>
    </row>
    <row r="9332" spans="3:3">
      <c r="C9332">
        <v>214767</v>
      </c>
    </row>
    <row r="9333" spans="3:3">
      <c r="C9333">
        <v>214790</v>
      </c>
    </row>
    <row r="9334" spans="3:3">
      <c r="C9334">
        <v>214813</v>
      </c>
    </row>
    <row r="9335" spans="3:3">
      <c r="C9335">
        <v>214837</v>
      </c>
    </row>
    <row r="9336" spans="3:3">
      <c r="C9336">
        <v>214860</v>
      </c>
    </row>
    <row r="9337" spans="3:3">
      <c r="C9337">
        <v>214883</v>
      </c>
    </row>
    <row r="9338" spans="3:3">
      <c r="C9338">
        <v>214906</v>
      </c>
    </row>
    <row r="9339" spans="3:3">
      <c r="C9339">
        <v>214929</v>
      </c>
    </row>
    <row r="9340" spans="3:3">
      <c r="C9340">
        <v>214952</v>
      </c>
    </row>
    <row r="9341" spans="3:3">
      <c r="C9341">
        <v>214975</v>
      </c>
    </row>
    <row r="9342" spans="3:3">
      <c r="C9342">
        <v>214998</v>
      </c>
    </row>
    <row r="9343" spans="3:3">
      <c r="C9343">
        <v>215021</v>
      </c>
    </row>
    <row r="9344" spans="3:3">
      <c r="C9344">
        <v>215044</v>
      </c>
    </row>
    <row r="9345" spans="3:3">
      <c r="C9345">
        <v>215067</v>
      </c>
    </row>
    <row r="9346" spans="3:3">
      <c r="C9346">
        <v>215090</v>
      </c>
    </row>
    <row r="9347" spans="3:3">
      <c r="C9347">
        <v>215113</v>
      </c>
    </row>
    <row r="9348" spans="3:3">
      <c r="C9348">
        <v>215137</v>
      </c>
    </row>
    <row r="9349" spans="3:3">
      <c r="C9349">
        <v>215160</v>
      </c>
    </row>
    <row r="9350" spans="3:3">
      <c r="C9350">
        <v>215183</v>
      </c>
    </row>
    <row r="9351" spans="3:3">
      <c r="C9351">
        <v>215206</v>
      </c>
    </row>
    <row r="9352" spans="3:3">
      <c r="C9352">
        <v>215229</v>
      </c>
    </row>
    <row r="9353" spans="3:3">
      <c r="C9353">
        <v>215252</v>
      </c>
    </row>
    <row r="9354" spans="3:3">
      <c r="C9354">
        <v>215275</v>
      </c>
    </row>
    <row r="9355" spans="3:3">
      <c r="C9355">
        <v>215298</v>
      </c>
    </row>
    <row r="9356" spans="3:3">
      <c r="C9356">
        <v>215321</v>
      </c>
    </row>
    <row r="9357" spans="3:3">
      <c r="C9357">
        <v>215344</v>
      </c>
    </row>
    <row r="9358" spans="3:3">
      <c r="C9358">
        <v>215367</v>
      </c>
    </row>
    <row r="9359" spans="3:3">
      <c r="C9359">
        <v>215390</v>
      </c>
    </row>
    <row r="9360" spans="3:3">
      <c r="C9360">
        <v>215413</v>
      </c>
    </row>
    <row r="9361" spans="3:3">
      <c r="C9361">
        <v>215437</v>
      </c>
    </row>
    <row r="9362" spans="3:3">
      <c r="C9362">
        <v>215460</v>
      </c>
    </row>
    <row r="9363" spans="3:3">
      <c r="C9363">
        <v>215483</v>
      </c>
    </row>
    <row r="9364" spans="3:3">
      <c r="C9364">
        <v>215506</v>
      </c>
    </row>
    <row r="9365" spans="3:3">
      <c r="C9365">
        <v>215529</v>
      </c>
    </row>
    <row r="9366" spans="3:3">
      <c r="C9366">
        <v>215552</v>
      </c>
    </row>
    <row r="9367" spans="3:3">
      <c r="C9367">
        <v>215575</v>
      </c>
    </row>
    <row r="9368" spans="3:3">
      <c r="C9368">
        <v>215598</v>
      </c>
    </row>
    <row r="9369" spans="3:3">
      <c r="C9369">
        <v>215621</v>
      </c>
    </row>
    <row r="9370" spans="3:3">
      <c r="C9370">
        <v>215644</v>
      </c>
    </row>
    <row r="9371" spans="3:3">
      <c r="C9371">
        <v>215667</v>
      </c>
    </row>
    <row r="9372" spans="3:3">
      <c r="C9372">
        <v>215690</v>
      </c>
    </row>
    <row r="9373" spans="3:3">
      <c r="C9373">
        <v>215713</v>
      </c>
    </row>
    <row r="9374" spans="3:3">
      <c r="C9374">
        <v>215737</v>
      </c>
    </row>
    <row r="9375" spans="3:3">
      <c r="C9375">
        <v>215760</v>
      </c>
    </row>
    <row r="9376" spans="3:3">
      <c r="C9376">
        <v>215783</v>
      </c>
    </row>
    <row r="9377" spans="3:3">
      <c r="C9377">
        <v>215806</v>
      </c>
    </row>
    <row r="9378" spans="3:3">
      <c r="C9378">
        <v>215829</v>
      </c>
    </row>
    <row r="9379" spans="3:3">
      <c r="C9379">
        <v>215852</v>
      </c>
    </row>
    <row r="9380" spans="3:3">
      <c r="C9380">
        <v>215875</v>
      </c>
    </row>
    <row r="9381" spans="3:3">
      <c r="C9381">
        <v>215898</v>
      </c>
    </row>
    <row r="9382" spans="3:3">
      <c r="C9382">
        <v>215921</v>
      </c>
    </row>
    <row r="9383" spans="3:3">
      <c r="C9383">
        <v>215944</v>
      </c>
    </row>
    <row r="9384" spans="3:3">
      <c r="C9384">
        <v>215967</v>
      </c>
    </row>
    <row r="9385" spans="3:3">
      <c r="C9385">
        <v>215990</v>
      </c>
    </row>
    <row r="9386" spans="3:3">
      <c r="C9386">
        <v>216013</v>
      </c>
    </row>
    <row r="9387" spans="3:3">
      <c r="C9387">
        <v>216037</v>
      </c>
    </row>
    <row r="9388" spans="3:3">
      <c r="C9388">
        <v>216060</v>
      </c>
    </row>
    <row r="9389" spans="3:3">
      <c r="C9389">
        <v>216083</v>
      </c>
    </row>
    <row r="9390" spans="3:3">
      <c r="C9390">
        <v>216106</v>
      </c>
    </row>
    <row r="9391" spans="3:3">
      <c r="C9391">
        <v>216129</v>
      </c>
    </row>
    <row r="9392" spans="3:3">
      <c r="C9392">
        <v>216152</v>
      </c>
    </row>
    <row r="9393" spans="3:3">
      <c r="C9393">
        <v>216175</v>
      </c>
    </row>
    <row r="9394" spans="3:3">
      <c r="C9394">
        <v>216198</v>
      </c>
    </row>
    <row r="9395" spans="3:3">
      <c r="C9395">
        <v>216221</v>
      </c>
    </row>
    <row r="9396" spans="3:3">
      <c r="C9396">
        <v>216244</v>
      </c>
    </row>
    <row r="9397" spans="3:3">
      <c r="C9397">
        <v>216267</v>
      </c>
    </row>
    <row r="9398" spans="3:3">
      <c r="C9398">
        <v>216290</v>
      </c>
    </row>
    <row r="9399" spans="3:3">
      <c r="C9399">
        <v>216313</v>
      </c>
    </row>
    <row r="9400" spans="3:3">
      <c r="C9400">
        <v>216337</v>
      </c>
    </row>
    <row r="9401" spans="3:3">
      <c r="C9401">
        <v>216360</v>
      </c>
    </row>
    <row r="9402" spans="3:3">
      <c r="C9402">
        <v>216383</v>
      </c>
    </row>
    <row r="9403" spans="3:3">
      <c r="C9403">
        <v>216406</v>
      </c>
    </row>
    <row r="9404" spans="3:3">
      <c r="C9404">
        <v>216429</v>
      </c>
    </row>
    <row r="9405" spans="3:3">
      <c r="C9405">
        <v>216452</v>
      </c>
    </row>
    <row r="9406" spans="3:3">
      <c r="C9406">
        <v>216475</v>
      </c>
    </row>
    <row r="9407" spans="3:3">
      <c r="C9407">
        <v>216498</v>
      </c>
    </row>
    <row r="9408" spans="3:3">
      <c r="C9408">
        <v>216521</v>
      </c>
    </row>
    <row r="9409" spans="3:3">
      <c r="C9409">
        <v>216544</v>
      </c>
    </row>
    <row r="9410" spans="3:3">
      <c r="C9410">
        <v>216567</v>
      </c>
    </row>
    <row r="9411" spans="3:3">
      <c r="C9411">
        <v>216590</v>
      </c>
    </row>
    <row r="9412" spans="3:3">
      <c r="C9412">
        <v>216613</v>
      </c>
    </row>
    <row r="9413" spans="3:3">
      <c r="C9413">
        <v>216637</v>
      </c>
    </row>
    <row r="9414" spans="3:3">
      <c r="C9414">
        <v>216660</v>
      </c>
    </row>
    <row r="9415" spans="3:3">
      <c r="C9415">
        <v>216683</v>
      </c>
    </row>
    <row r="9416" spans="3:3">
      <c r="C9416">
        <v>216706</v>
      </c>
    </row>
    <row r="9417" spans="3:3">
      <c r="C9417">
        <v>216729</v>
      </c>
    </row>
    <row r="9418" spans="3:3">
      <c r="C9418">
        <v>216752</v>
      </c>
    </row>
    <row r="9419" spans="3:3">
      <c r="C9419">
        <v>216775</v>
      </c>
    </row>
    <row r="9420" spans="3:3">
      <c r="C9420">
        <v>216798</v>
      </c>
    </row>
    <row r="9421" spans="3:3">
      <c r="C9421">
        <v>216821</v>
      </c>
    </row>
    <row r="9422" spans="3:3">
      <c r="C9422">
        <v>216844</v>
      </c>
    </row>
    <row r="9423" spans="3:3">
      <c r="C9423">
        <v>216867</v>
      </c>
    </row>
    <row r="9424" spans="3:3">
      <c r="C9424">
        <v>216890</v>
      </c>
    </row>
    <row r="9425" spans="3:3">
      <c r="C9425">
        <v>216913</v>
      </c>
    </row>
    <row r="9426" spans="3:3">
      <c r="C9426">
        <v>216937</v>
      </c>
    </row>
    <row r="9427" spans="3:3">
      <c r="C9427">
        <v>216960</v>
      </c>
    </row>
    <row r="9428" spans="3:3">
      <c r="C9428">
        <v>216983</v>
      </c>
    </row>
    <row r="9429" spans="3:3">
      <c r="C9429">
        <v>217006</v>
      </c>
    </row>
    <row r="9430" spans="3:3">
      <c r="C9430">
        <v>217029</v>
      </c>
    </row>
    <row r="9431" spans="3:3">
      <c r="C9431">
        <v>217052</v>
      </c>
    </row>
    <row r="9432" spans="3:3">
      <c r="C9432">
        <v>217075</v>
      </c>
    </row>
    <row r="9433" spans="3:3">
      <c r="C9433">
        <v>217098</v>
      </c>
    </row>
    <row r="9434" spans="3:3">
      <c r="C9434">
        <v>217121</v>
      </c>
    </row>
    <row r="9435" spans="3:3">
      <c r="C9435">
        <v>217144</v>
      </c>
    </row>
    <row r="9436" spans="3:3">
      <c r="C9436">
        <v>217167</v>
      </c>
    </row>
    <row r="9437" spans="3:3">
      <c r="C9437">
        <v>217190</v>
      </c>
    </row>
    <row r="9438" spans="3:3">
      <c r="C9438">
        <v>217213</v>
      </c>
    </row>
    <row r="9439" spans="3:3">
      <c r="C9439">
        <v>217237</v>
      </c>
    </row>
    <row r="9440" spans="3:3">
      <c r="C9440">
        <v>217260</v>
      </c>
    </row>
    <row r="9441" spans="3:3">
      <c r="C9441">
        <v>217283</v>
      </c>
    </row>
    <row r="9442" spans="3:3">
      <c r="C9442">
        <v>217306</v>
      </c>
    </row>
    <row r="9443" spans="3:3">
      <c r="C9443">
        <v>217329</v>
      </c>
    </row>
    <row r="9444" spans="3:3">
      <c r="C9444">
        <v>217352</v>
      </c>
    </row>
    <row r="9445" spans="3:3">
      <c r="C9445">
        <v>217375</v>
      </c>
    </row>
    <row r="9446" spans="3:3">
      <c r="C9446">
        <v>217398</v>
      </c>
    </row>
    <row r="9447" spans="3:3">
      <c r="C9447">
        <v>217421</v>
      </c>
    </row>
    <row r="9448" spans="3:3">
      <c r="C9448">
        <v>217444</v>
      </c>
    </row>
    <row r="9449" spans="3:3">
      <c r="C9449">
        <v>217467</v>
      </c>
    </row>
    <row r="9450" spans="3:3">
      <c r="C9450">
        <v>217490</v>
      </c>
    </row>
    <row r="9451" spans="3:3">
      <c r="C9451">
        <v>217513</v>
      </c>
    </row>
    <row r="9452" spans="3:3">
      <c r="C9452">
        <v>217537</v>
      </c>
    </row>
    <row r="9453" spans="3:3">
      <c r="C9453">
        <v>217560</v>
      </c>
    </row>
    <row r="9454" spans="3:3">
      <c r="C9454">
        <v>217583</v>
      </c>
    </row>
    <row r="9455" spans="3:3">
      <c r="C9455">
        <v>217606</v>
      </c>
    </row>
    <row r="9456" spans="3:3">
      <c r="C9456">
        <v>217629</v>
      </c>
    </row>
    <row r="9457" spans="3:3">
      <c r="C9457">
        <v>217652</v>
      </c>
    </row>
    <row r="9458" spans="3:3">
      <c r="C9458">
        <v>217675</v>
      </c>
    </row>
    <row r="9459" spans="3:3">
      <c r="C9459">
        <v>217698</v>
      </c>
    </row>
    <row r="9460" spans="3:3">
      <c r="C9460">
        <v>217721</v>
      </c>
    </row>
    <row r="9461" spans="3:3">
      <c r="C9461">
        <v>217744</v>
      </c>
    </row>
    <row r="9462" spans="3:3">
      <c r="C9462">
        <v>217767</v>
      </c>
    </row>
    <row r="9463" spans="3:3">
      <c r="C9463">
        <v>217790</v>
      </c>
    </row>
    <row r="9464" spans="3:3">
      <c r="C9464">
        <v>217813</v>
      </c>
    </row>
    <row r="9465" spans="3:3">
      <c r="C9465">
        <v>217837</v>
      </c>
    </row>
    <row r="9466" spans="3:3">
      <c r="C9466">
        <v>217860</v>
      </c>
    </row>
    <row r="9467" spans="3:3">
      <c r="C9467">
        <v>217883</v>
      </c>
    </row>
    <row r="9468" spans="3:3">
      <c r="C9468">
        <v>217906</v>
      </c>
    </row>
    <row r="9469" spans="3:3">
      <c r="C9469">
        <v>217929</v>
      </c>
    </row>
    <row r="9470" spans="3:3">
      <c r="C9470">
        <v>217952</v>
      </c>
    </row>
    <row r="9471" spans="3:3">
      <c r="C9471">
        <v>217975</v>
      </c>
    </row>
    <row r="9472" spans="3:3">
      <c r="C9472">
        <v>217998</v>
      </c>
    </row>
    <row r="9473" spans="3:3">
      <c r="C9473">
        <v>218021</v>
      </c>
    </row>
    <row r="9474" spans="3:3">
      <c r="C9474">
        <v>218044</v>
      </c>
    </row>
    <row r="9475" spans="3:3">
      <c r="C9475">
        <v>218067</v>
      </c>
    </row>
    <row r="9476" spans="3:3">
      <c r="C9476">
        <v>218090</v>
      </c>
    </row>
    <row r="9477" spans="3:3">
      <c r="C9477">
        <v>218113</v>
      </c>
    </row>
    <row r="9478" spans="3:3">
      <c r="C9478">
        <v>218137</v>
      </c>
    </row>
    <row r="9479" spans="3:3">
      <c r="C9479">
        <v>218160</v>
      </c>
    </row>
    <row r="9480" spans="3:3">
      <c r="C9480">
        <v>218183</v>
      </c>
    </row>
    <row r="9481" spans="3:3">
      <c r="C9481">
        <v>218206</v>
      </c>
    </row>
    <row r="9482" spans="3:3">
      <c r="C9482">
        <v>218229</v>
      </c>
    </row>
    <row r="9483" spans="3:3">
      <c r="C9483">
        <v>218252</v>
      </c>
    </row>
    <row r="9484" spans="3:3">
      <c r="C9484">
        <v>218275</v>
      </c>
    </row>
    <row r="9485" spans="3:3">
      <c r="C9485">
        <v>218298</v>
      </c>
    </row>
    <row r="9486" spans="3:3">
      <c r="C9486">
        <v>218321</v>
      </c>
    </row>
    <row r="9487" spans="3:3">
      <c r="C9487">
        <v>218344</v>
      </c>
    </row>
    <row r="9488" spans="3:3">
      <c r="C9488">
        <v>218367</v>
      </c>
    </row>
    <row r="9489" spans="3:3">
      <c r="C9489">
        <v>218390</v>
      </c>
    </row>
    <row r="9490" spans="3:3">
      <c r="C9490">
        <v>218413</v>
      </c>
    </row>
    <row r="9491" spans="3:3">
      <c r="C9491">
        <v>218437</v>
      </c>
    </row>
    <row r="9492" spans="3:3">
      <c r="C9492">
        <v>218460</v>
      </c>
    </row>
    <row r="9493" spans="3:3">
      <c r="C9493">
        <v>218483</v>
      </c>
    </row>
    <row r="9494" spans="3:3">
      <c r="C9494">
        <v>218506</v>
      </c>
    </row>
    <row r="9495" spans="3:3">
      <c r="C9495">
        <v>218529</v>
      </c>
    </row>
    <row r="9496" spans="3:3">
      <c r="C9496">
        <v>218552</v>
      </c>
    </row>
    <row r="9497" spans="3:3">
      <c r="C9497">
        <v>218575</v>
      </c>
    </row>
    <row r="9498" spans="3:3">
      <c r="C9498">
        <v>218598</v>
      </c>
    </row>
    <row r="9499" spans="3:3">
      <c r="C9499">
        <v>218621</v>
      </c>
    </row>
    <row r="9500" spans="3:3">
      <c r="C9500">
        <v>218644</v>
      </c>
    </row>
    <row r="9501" spans="3:3">
      <c r="C9501">
        <v>218667</v>
      </c>
    </row>
    <row r="9502" spans="3:3">
      <c r="C9502">
        <v>218690</v>
      </c>
    </row>
    <row r="9503" spans="3:3">
      <c r="C9503">
        <v>218713</v>
      </c>
    </row>
    <row r="9504" spans="3:3">
      <c r="C9504">
        <v>218737</v>
      </c>
    </row>
    <row r="9505" spans="3:3">
      <c r="C9505">
        <v>218760</v>
      </c>
    </row>
    <row r="9506" spans="3:3">
      <c r="C9506">
        <v>218783</v>
      </c>
    </row>
    <row r="9507" spans="3:3">
      <c r="C9507">
        <v>218806</v>
      </c>
    </row>
    <row r="9508" spans="3:3">
      <c r="C9508">
        <v>218829</v>
      </c>
    </row>
    <row r="9509" spans="3:3">
      <c r="C9509">
        <v>218852</v>
      </c>
    </row>
    <row r="9510" spans="3:3">
      <c r="C9510">
        <v>218875</v>
      </c>
    </row>
    <row r="9511" spans="3:3">
      <c r="C9511">
        <v>218898</v>
      </c>
    </row>
    <row r="9512" spans="3:3">
      <c r="C9512">
        <v>218921</v>
      </c>
    </row>
    <row r="9513" spans="3:3">
      <c r="C9513">
        <v>218944</v>
      </c>
    </row>
    <row r="9514" spans="3:3">
      <c r="C9514">
        <v>218967</v>
      </c>
    </row>
    <row r="9515" spans="3:3">
      <c r="C9515">
        <v>218990</v>
      </c>
    </row>
    <row r="9516" spans="3:3">
      <c r="C9516">
        <v>219013</v>
      </c>
    </row>
    <row r="9517" spans="3:3">
      <c r="C9517">
        <v>219037</v>
      </c>
    </row>
    <row r="9518" spans="3:3">
      <c r="C9518">
        <v>219060</v>
      </c>
    </row>
    <row r="9519" spans="3:3">
      <c r="C9519">
        <v>219083</v>
      </c>
    </row>
    <row r="9520" spans="3:3">
      <c r="C9520">
        <v>219106</v>
      </c>
    </row>
    <row r="9521" spans="3:3">
      <c r="C9521">
        <v>219129</v>
      </c>
    </row>
    <row r="9522" spans="3:3">
      <c r="C9522">
        <v>219152</v>
      </c>
    </row>
    <row r="9523" spans="3:3">
      <c r="C9523">
        <v>219175</v>
      </c>
    </row>
    <row r="9524" spans="3:3">
      <c r="C9524">
        <v>219198</v>
      </c>
    </row>
    <row r="9525" spans="3:3">
      <c r="C9525">
        <v>219221</v>
      </c>
    </row>
    <row r="9526" spans="3:3">
      <c r="C9526">
        <v>219244</v>
      </c>
    </row>
    <row r="9527" spans="3:3">
      <c r="C9527">
        <v>219267</v>
      </c>
    </row>
    <row r="9528" spans="3:3">
      <c r="C9528">
        <v>219290</v>
      </c>
    </row>
    <row r="9529" spans="3:3">
      <c r="C9529">
        <v>219313</v>
      </c>
    </row>
    <row r="9530" spans="3:3">
      <c r="C9530">
        <v>219337</v>
      </c>
    </row>
    <row r="9531" spans="3:3">
      <c r="C9531">
        <v>219360</v>
      </c>
    </row>
    <row r="9532" spans="3:3">
      <c r="C9532">
        <v>219383</v>
      </c>
    </row>
    <row r="9533" spans="3:3">
      <c r="C9533">
        <v>219406</v>
      </c>
    </row>
    <row r="9534" spans="3:3">
      <c r="C9534">
        <v>219429</v>
      </c>
    </row>
    <row r="9535" spans="3:3">
      <c r="C9535">
        <v>219452</v>
      </c>
    </row>
    <row r="9536" spans="3:3">
      <c r="C9536">
        <v>219475</v>
      </c>
    </row>
    <row r="9537" spans="3:3">
      <c r="C9537">
        <v>219498</v>
      </c>
    </row>
    <row r="9538" spans="3:3">
      <c r="C9538">
        <v>219521</v>
      </c>
    </row>
    <row r="9539" spans="3:3">
      <c r="C9539">
        <v>219544</v>
      </c>
    </row>
    <row r="9540" spans="3:3">
      <c r="C9540">
        <v>219567</v>
      </c>
    </row>
    <row r="9541" spans="3:3">
      <c r="C9541">
        <v>219590</v>
      </c>
    </row>
    <row r="9542" spans="3:3">
      <c r="C9542">
        <v>219613</v>
      </c>
    </row>
    <row r="9543" spans="3:3">
      <c r="C9543">
        <v>219637</v>
      </c>
    </row>
    <row r="9544" spans="3:3">
      <c r="C9544">
        <v>219660</v>
      </c>
    </row>
    <row r="9545" spans="3:3">
      <c r="C9545">
        <v>219683</v>
      </c>
    </row>
    <row r="9546" spans="3:3">
      <c r="C9546">
        <v>219706</v>
      </c>
    </row>
    <row r="9547" spans="3:3">
      <c r="C9547">
        <v>219729</v>
      </c>
    </row>
    <row r="9548" spans="3:3">
      <c r="C9548">
        <v>219752</v>
      </c>
    </row>
    <row r="9549" spans="3:3">
      <c r="C9549">
        <v>219775</v>
      </c>
    </row>
    <row r="9550" spans="3:3">
      <c r="C9550">
        <v>219798</v>
      </c>
    </row>
    <row r="9551" spans="3:3">
      <c r="C9551">
        <v>219821</v>
      </c>
    </row>
    <row r="9552" spans="3:3">
      <c r="C9552">
        <v>219844</v>
      </c>
    </row>
    <row r="9553" spans="3:3">
      <c r="C9553">
        <v>219867</v>
      </c>
    </row>
    <row r="9554" spans="3:3">
      <c r="C9554">
        <v>219890</v>
      </c>
    </row>
    <row r="9555" spans="3:3">
      <c r="C9555">
        <v>219913</v>
      </c>
    </row>
    <row r="9556" spans="3:3">
      <c r="C9556">
        <v>219937</v>
      </c>
    </row>
    <row r="9557" spans="3:3">
      <c r="C9557">
        <v>219960</v>
      </c>
    </row>
    <row r="9558" spans="3:3">
      <c r="C9558">
        <v>219983</v>
      </c>
    </row>
    <row r="9559" spans="3:3">
      <c r="C9559">
        <v>220006</v>
      </c>
    </row>
    <row r="9560" spans="3:3">
      <c r="C9560">
        <v>220029</v>
      </c>
    </row>
    <row r="9561" spans="3:3">
      <c r="C9561">
        <v>220052</v>
      </c>
    </row>
    <row r="9562" spans="3:3">
      <c r="C9562">
        <v>220075</v>
      </c>
    </row>
    <row r="9563" spans="3:3">
      <c r="C9563">
        <v>220098</v>
      </c>
    </row>
    <row r="9564" spans="3:3">
      <c r="C9564">
        <v>220121</v>
      </c>
    </row>
    <row r="9565" spans="3:3">
      <c r="C9565">
        <v>220144</v>
      </c>
    </row>
    <row r="9566" spans="3:3">
      <c r="C9566">
        <v>220167</v>
      </c>
    </row>
    <row r="9567" spans="3:3">
      <c r="C9567">
        <v>220190</v>
      </c>
    </row>
    <row r="9568" spans="3:3">
      <c r="C9568">
        <v>220213</v>
      </c>
    </row>
    <row r="9569" spans="3:3">
      <c r="C9569">
        <v>220237</v>
      </c>
    </row>
    <row r="9570" spans="3:3">
      <c r="C9570">
        <v>220260</v>
      </c>
    </row>
    <row r="9571" spans="3:3">
      <c r="C9571">
        <v>220283</v>
      </c>
    </row>
    <row r="9572" spans="3:3">
      <c r="C9572">
        <v>220306</v>
      </c>
    </row>
    <row r="9573" spans="3:3">
      <c r="C9573">
        <v>220329</v>
      </c>
    </row>
    <row r="9574" spans="3:3">
      <c r="C9574">
        <v>220352</v>
      </c>
    </row>
    <row r="9575" spans="3:3">
      <c r="C9575">
        <v>220375</v>
      </c>
    </row>
    <row r="9576" spans="3:3">
      <c r="C9576">
        <v>220398</v>
      </c>
    </row>
    <row r="9577" spans="3:3">
      <c r="C9577">
        <v>220421</v>
      </c>
    </row>
    <row r="9578" spans="3:3">
      <c r="C9578">
        <v>220444</v>
      </c>
    </row>
    <row r="9579" spans="3:3">
      <c r="C9579">
        <v>220467</v>
      </c>
    </row>
    <row r="9580" spans="3:3">
      <c r="C9580">
        <v>220490</v>
      </c>
    </row>
    <row r="9581" spans="3:3">
      <c r="C9581">
        <v>220513</v>
      </c>
    </row>
    <row r="9582" spans="3:3">
      <c r="C9582">
        <v>220537</v>
      </c>
    </row>
    <row r="9583" spans="3:3">
      <c r="C9583">
        <v>220560</v>
      </c>
    </row>
    <row r="9584" spans="3:3">
      <c r="C9584">
        <v>220583</v>
      </c>
    </row>
    <row r="9585" spans="3:3">
      <c r="C9585">
        <v>220606</v>
      </c>
    </row>
    <row r="9586" spans="3:3">
      <c r="C9586">
        <v>220629</v>
      </c>
    </row>
    <row r="9587" spans="3:3">
      <c r="C9587">
        <v>220652</v>
      </c>
    </row>
    <row r="9588" spans="3:3">
      <c r="C9588">
        <v>220675</v>
      </c>
    </row>
    <row r="9589" spans="3:3">
      <c r="C9589">
        <v>220698</v>
      </c>
    </row>
    <row r="9590" spans="3:3">
      <c r="C9590">
        <v>220721</v>
      </c>
    </row>
    <row r="9591" spans="3:3">
      <c r="C9591">
        <v>220744</v>
      </c>
    </row>
    <row r="9592" spans="3:3">
      <c r="C9592">
        <v>220767</v>
      </c>
    </row>
    <row r="9593" spans="3:3">
      <c r="C9593">
        <v>220790</v>
      </c>
    </row>
    <row r="9594" spans="3:3">
      <c r="C9594">
        <v>220813</v>
      </c>
    </row>
    <row r="9595" spans="3:3">
      <c r="C9595">
        <v>220837</v>
      </c>
    </row>
    <row r="9596" spans="3:3">
      <c r="C9596">
        <v>220860</v>
      </c>
    </row>
    <row r="9597" spans="3:3">
      <c r="C9597">
        <v>220883</v>
      </c>
    </row>
    <row r="9598" spans="3:3">
      <c r="C9598">
        <v>220906</v>
      </c>
    </row>
    <row r="9599" spans="3:3">
      <c r="C9599">
        <v>220929</v>
      </c>
    </row>
    <row r="9600" spans="3:3">
      <c r="C9600">
        <v>220952</v>
      </c>
    </row>
    <row r="9601" spans="3:3">
      <c r="C9601">
        <v>220975</v>
      </c>
    </row>
    <row r="9602" spans="3:3">
      <c r="C9602">
        <v>220998</v>
      </c>
    </row>
    <row r="9603" spans="3:3">
      <c r="C9603">
        <v>221021</v>
      </c>
    </row>
    <row r="9604" spans="3:3">
      <c r="C9604">
        <v>221044</v>
      </c>
    </row>
    <row r="9605" spans="3:3">
      <c r="C9605">
        <v>221067</v>
      </c>
    </row>
    <row r="9606" spans="3:3">
      <c r="C9606">
        <v>221090</v>
      </c>
    </row>
    <row r="9607" spans="3:3">
      <c r="C9607">
        <v>221113</v>
      </c>
    </row>
    <row r="9608" spans="3:3">
      <c r="C9608">
        <v>221137</v>
      </c>
    </row>
    <row r="9609" spans="3:3">
      <c r="C9609">
        <v>221160</v>
      </c>
    </row>
    <row r="9610" spans="3:3">
      <c r="C9610">
        <v>221183</v>
      </c>
    </row>
    <row r="9611" spans="3:3">
      <c r="C9611">
        <v>221206</v>
      </c>
    </row>
    <row r="9612" spans="3:3">
      <c r="C9612">
        <v>221229</v>
      </c>
    </row>
    <row r="9613" spans="3:3">
      <c r="C9613">
        <v>221252</v>
      </c>
    </row>
    <row r="9614" spans="3:3">
      <c r="C9614">
        <v>221275</v>
      </c>
    </row>
    <row r="9615" spans="3:3">
      <c r="C9615">
        <v>221298</v>
      </c>
    </row>
    <row r="9616" spans="3:3">
      <c r="C9616">
        <v>221321</v>
      </c>
    </row>
    <row r="9617" spans="3:3">
      <c r="C9617">
        <v>221344</v>
      </c>
    </row>
    <row r="9618" spans="3:3">
      <c r="C9618">
        <v>221367</v>
      </c>
    </row>
    <row r="9619" spans="3:3">
      <c r="C9619">
        <v>221390</v>
      </c>
    </row>
    <row r="9620" spans="3:3">
      <c r="C9620">
        <v>221413</v>
      </c>
    </row>
    <row r="9621" spans="3:3">
      <c r="C9621">
        <v>221437</v>
      </c>
    </row>
    <row r="9622" spans="3:3">
      <c r="C9622">
        <v>221460</v>
      </c>
    </row>
    <row r="9623" spans="3:3">
      <c r="C9623">
        <v>221483</v>
      </c>
    </row>
    <row r="9624" spans="3:3">
      <c r="C9624">
        <v>221506</v>
      </c>
    </row>
    <row r="9625" spans="3:3">
      <c r="C9625">
        <v>221529</v>
      </c>
    </row>
    <row r="9626" spans="3:3">
      <c r="C9626">
        <v>221552</v>
      </c>
    </row>
    <row r="9627" spans="3:3">
      <c r="C9627">
        <v>221575</v>
      </c>
    </row>
    <row r="9628" spans="3:3">
      <c r="C9628">
        <v>221598</v>
      </c>
    </row>
    <row r="9629" spans="3:3">
      <c r="C9629">
        <v>221621</v>
      </c>
    </row>
    <row r="9630" spans="3:3">
      <c r="C9630">
        <v>221644</v>
      </c>
    </row>
    <row r="9631" spans="3:3">
      <c r="C9631">
        <v>221667</v>
      </c>
    </row>
    <row r="9632" spans="3:3">
      <c r="C9632">
        <v>221690</v>
      </c>
    </row>
    <row r="9633" spans="3:3">
      <c r="C9633">
        <v>221713</v>
      </c>
    </row>
    <row r="9634" spans="3:3">
      <c r="C9634">
        <v>221737</v>
      </c>
    </row>
    <row r="9635" spans="3:3">
      <c r="C9635">
        <v>221760</v>
      </c>
    </row>
    <row r="9636" spans="3:3">
      <c r="C9636">
        <v>221783</v>
      </c>
    </row>
    <row r="9637" spans="3:3">
      <c r="C9637">
        <v>221806</v>
      </c>
    </row>
    <row r="9638" spans="3:3">
      <c r="C9638">
        <v>221829</v>
      </c>
    </row>
    <row r="9639" spans="3:3">
      <c r="C9639">
        <v>221852</v>
      </c>
    </row>
    <row r="9640" spans="3:3">
      <c r="C9640">
        <v>221875</v>
      </c>
    </row>
    <row r="9641" spans="3:3">
      <c r="C9641">
        <v>221898</v>
      </c>
    </row>
    <row r="9642" spans="3:3">
      <c r="C9642">
        <v>221921</v>
      </c>
    </row>
    <row r="9643" spans="3:3">
      <c r="C9643">
        <v>221944</v>
      </c>
    </row>
    <row r="9644" spans="3:3">
      <c r="C9644">
        <v>221967</v>
      </c>
    </row>
    <row r="9645" spans="3:3">
      <c r="C9645">
        <v>221990</v>
      </c>
    </row>
    <row r="9646" spans="3:3">
      <c r="C9646">
        <v>222013</v>
      </c>
    </row>
    <row r="9647" spans="3:3">
      <c r="C9647">
        <v>222037</v>
      </c>
    </row>
    <row r="9648" spans="3:3">
      <c r="C9648">
        <v>222060</v>
      </c>
    </row>
    <row r="9649" spans="3:3">
      <c r="C9649">
        <v>222083</v>
      </c>
    </row>
    <row r="9650" spans="3:3">
      <c r="C9650">
        <v>222106</v>
      </c>
    </row>
    <row r="9651" spans="3:3">
      <c r="C9651">
        <v>222129</v>
      </c>
    </row>
    <row r="9652" spans="3:3">
      <c r="C9652">
        <v>222152</v>
      </c>
    </row>
    <row r="9653" spans="3:3">
      <c r="C9653">
        <v>222175</v>
      </c>
    </row>
    <row r="9654" spans="3:3">
      <c r="C9654">
        <v>222198</v>
      </c>
    </row>
    <row r="9655" spans="3:3">
      <c r="C9655">
        <v>222221</v>
      </c>
    </row>
    <row r="9656" spans="3:3">
      <c r="C9656">
        <v>222244</v>
      </c>
    </row>
    <row r="9657" spans="3:3">
      <c r="C9657">
        <v>222267</v>
      </c>
    </row>
    <row r="9658" spans="3:3">
      <c r="C9658">
        <v>222290</v>
      </c>
    </row>
    <row r="9659" spans="3:3">
      <c r="C9659">
        <v>222313</v>
      </c>
    </row>
    <row r="9660" spans="3:3">
      <c r="C9660">
        <v>222337</v>
      </c>
    </row>
    <row r="9661" spans="3:3">
      <c r="C9661">
        <v>222360</v>
      </c>
    </row>
    <row r="9662" spans="3:3">
      <c r="C9662">
        <v>222383</v>
      </c>
    </row>
    <row r="9663" spans="3:3">
      <c r="C9663">
        <v>222406</v>
      </c>
    </row>
    <row r="9664" spans="3:3">
      <c r="C9664">
        <v>222429</v>
      </c>
    </row>
    <row r="9665" spans="3:3">
      <c r="C9665">
        <v>222452</v>
      </c>
    </row>
    <row r="9666" spans="3:3">
      <c r="C9666">
        <v>222475</v>
      </c>
    </row>
    <row r="9667" spans="3:3">
      <c r="C9667">
        <v>222498</v>
      </c>
    </row>
    <row r="9668" spans="3:3">
      <c r="C9668">
        <v>222521</v>
      </c>
    </row>
    <row r="9669" spans="3:3">
      <c r="C9669">
        <v>222544</v>
      </c>
    </row>
    <row r="9670" spans="3:3">
      <c r="C9670">
        <v>222567</v>
      </c>
    </row>
    <row r="9671" spans="3:3">
      <c r="C9671">
        <v>222590</v>
      </c>
    </row>
    <row r="9672" spans="3:3">
      <c r="C9672">
        <v>222613</v>
      </c>
    </row>
    <row r="9673" spans="3:3">
      <c r="C9673">
        <v>222637</v>
      </c>
    </row>
    <row r="9674" spans="3:3">
      <c r="C9674">
        <v>222660</v>
      </c>
    </row>
    <row r="9675" spans="3:3">
      <c r="C9675">
        <v>222683</v>
      </c>
    </row>
    <row r="9676" spans="3:3">
      <c r="C9676">
        <v>222706</v>
      </c>
    </row>
    <row r="9677" spans="3:3">
      <c r="C9677">
        <v>222729</v>
      </c>
    </row>
    <row r="9678" spans="3:3">
      <c r="C9678">
        <v>222752</v>
      </c>
    </row>
    <row r="9679" spans="3:3">
      <c r="C9679">
        <v>222775</v>
      </c>
    </row>
    <row r="9680" spans="3:3">
      <c r="C9680">
        <v>222798</v>
      </c>
    </row>
    <row r="9681" spans="3:3">
      <c r="C9681">
        <v>222821</v>
      </c>
    </row>
    <row r="9682" spans="3:3">
      <c r="C9682">
        <v>222844</v>
      </c>
    </row>
    <row r="9683" spans="3:3">
      <c r="C9683">
        <v>222867</v>
      </c>
    </row>
    <row r="9684" spans="3:3">
      <c r="C9684">
        <v>222890</v>
      </c>
    </row>
    <row r="9685" spans="3:3">
      <c r="C9685">
        <v>222913</v>
      </c>
    </row>
    <row r="9686" spans="3:3">
      <c r="C9686">
        <v>222937</v>
      </c>
    </row>
    <row r="9687" spans="3:3">
      <c r="C9687">
        <v>222960</v>
      </c>
    </row>
    <row r="9688" spans="3:3">
      <c r="C9688">
        <v>222983</v>
      </c>
    </row>
    <row r="9689" spans="3:3">
      <c r="C9689">
        <v>223006</v>
      </c>
    </row>
    <row r="9690" spans="3:3">
      <c r="C9690">
        <v>223029</v>
      </c>
    </row>
    <row r="9691" spans="3:3">
      <c r="C9691">
        <v>223052</v>
      </c>
    </row>
    <row r="9692" spans="3:3">
      <c r="C9692">
        <v>223075</v>
      </c>
    </row>
    <row r="9693" spans="3:3">
      <c r="C9693">
        <v>223098</v>
      </c>
    </row>
    <row r="9694" spans="3:3">
      <c r="C9694">
        <v>223121</v>
      </c>
    </row>
    <row r="9695" spans="3:3">
      <c r="C9695">
        <v>223144</v>
      </c>
    </row>
    <row r="9696" spans="3:3">
      <c r="C9696">
        <v>223167</v>
      </c>
    </row>
    <row r="9697" spans="3:3">
      <c r="C9697">
        <v>223190</v>
      </c>
    </row>
    <row r="9698" spans="3:3">
      <c r="C9698">
        <v>223213</v>
      </c>
    </row>
    <row r="9699" spans="3:3">
      <c r="C9699">
        <v>223237</v>
      </c>
    </row>
    <row r="9700" spans="3:3">
      <c r="C9700">
        <v>223260</v>
      </c>
    </row>
    <row r="9701" spans="3:3">
      <c r="C9701">
        <v>223283</v>
      </c>
    </row>
    <row r="9702" spans="3:3">
      <c r="C9702">
        <v>223306</v>
      </c>
    </row>
    <row r="9703" spans="3:3">
      <c r="C9703">
        <v>223329</v>
      </c>
    </row>
    <row r="9704" spans="3:3">
      <c r="C9704">
        <v>223352</v>
      </c>
    </row>
    <row r="9705" spans="3:3">
      <c r="C9705">
        <v>223375</v>
      </c>
    </row>
    <row r="9706" spans="3:3">
      <c r="C9706">
        <v>223398</v>
      </c>
    </row>
    <row r="9707" spans="3:3">
      <c r="C9707">
        <v>223421</v>
      </c>
    </row>
    <row r="9708" spans="3:3">
      <c r="C9708">
        <v>223444</v>
      </c>
    </row>
    <row r="9709" spans="3:3">
      <c r="C9709">
        <v>223467</v>
      </c>
    </row>
    <row r="9710" spans="3:3">
      <c r="C9710">
        <v>223490</v>
      </c>
    </row>
    <row r="9711" spans="3:3">
      <c r="C9711">
        <v>223513</v>
      </c>
    </row>
    <row r="9712" spans="3:3">
      <c r="C9712">
        <v>223537</v>
      </c>
    </row>
    <row r="9713" spans="3:3">
      <c r="C9713">
        <v>223560</v>
      </c>
    </row>
    <row r="9714" spans="3:3">
      <c r="C9714">
        <v>223583</v>
      </c>
    </row>
    <row r="9715" spans="3:3">
      <c r="C9715">
        <v>223606</v>
      </c>
    </row>
    <row r="9716" spans="3:3">
      <c r="C9716">
        <v>223629</v>
      </c>
    </row>
    <row r="9717" spans="3:3">
      <c r="C9717">
        <v>223652</v>
      </c>
    </row>
    <row r="9718" spans="3:3">
      <c r="C9718">
        <v>223675</v>
      </c>
    </row>
    <row r="9719" spans="3:3">
      <c r="C9719">
        <v>223698</v>
      </c>
    </row>
    <row r="9720" spans="3:3">
      <c r="C9720">
        <v>223721</v>
      </c>
    </row>
    <row r="9721" spans="3:3">
      <c r="C9721">
        <v>223744</v>
      </c>
    </row>
    <row r="9722" spans="3:3">
      <c r="C9722">
        <v>223767</v>
      </c>
    </row>
    <row r="9723" spans="3:3">
      <c r="C9723">
        <v>223790</v>
      </c>
    </row>
    <row r="9724" spans="3:3">
      <c r="C9724">
        <v>223813</v>
      </c>
    </row>
    <row r="9725" spans="3:3">
      <c r="C9725">
        <v>223837</v>
      </c>
    </row>
    <row r="9726" spans="3:3">
      <c r="C9726">
        <v>223860</v>
      </c>
    </row>
    <row r="9727" spans="3:3">
      <c r="C9727">
        <v>223883</v>
      </c>
    </row>
    <row r="9728" spans="3:3">
      <c r="C9728">
        <v>223906</v>
      </c>
    </row>
    <row r="9729" spans="3:3">
      <c r="C9729">
        <v>223929</v>
      </c>
    </row>
    <row r="9730" spans="3:3">
      <c r="C9730">
        <v>223952</v>
      </c>
    </row>
    <row r="9731" spans="3:3">
      <c r="C9731">
        <v>223975</v>
      </c>
    </row>
    <row r="9732" spans="3:3">
      <c r="C9732">
        <v>223998</v>
      </c>
    </row>
    <row r="9733" spans="3:3">
      <c r="C9733">
        <v>224021</v>
      </c>
    </row>
    <row r="9734" spans="3:3">
      <c r="C9734">
        <v>224044</v>
      </c>
    </row>
    <row r="9735" spans="3:3">
      <c r="C9735">
        <v>224067</v>
      </c>
    </row>
    <row r="9736" spans="3:3">
      <c r="C9736">
        <v>224090</v>
      </c>
    </row>
    <row r="9737" spans="3:3">
      <c r="C9737">
        <v>224113</v>
      </c>
    </row>
    <row r="9738" spans="3:3">
      <c r="C9738">
        <v>224137</v>
      </c>
    </row>
    <row r="9739" spans="3:3">
      <c r="C9739">
        <v>224160</v>
      </c>
    </row>
    <row r="9740" spans="3:3">
      <c r="C9740">
        <v>224183</v>
      </c>
    </row>
    <row r="9741" spans="3:3">
      <c r="C9741">
        <v>224206</v>
      </c>
    </row>
    <row r="9742" spans="3:3">
      <c r="C9742">
        <v>224229</v>
      </c>
    </row>
    <row r="9743" spans="3:3">
      <c r="C9743">
        <v>224252</v>
      </c>
    </row>
    <row r="9744" spans="3:3">
      <c r="C9744">
        <v>224275</v>
      </c>
    </row>
    <row r="9745" spans="3:3">
      <c r="C9745">
        <v>224298</v>
      </c>
    </row>
    <row r="9746" spans="3:3">
      <c r="C9746">
        <v>224321</v>
      </c>
    </row>
    <row r="9747" spans="3:3">
      <c r="C9747">
        <v>224344</v>
      </c>
    </row>
    <row r="9748" spans="3:3">
      <c r="C9748">
        <v>224367</v>
      </c>
    </row>
    <row r="9749" spans="3:3">
      <c r="C9749">
        <v>224390</v>
      </c>
    </row>
    <row r="9750" spans="3:3">
      <c r="C9750">
        <v>224413</v>
      </c>
    </row>
    <row r="9751" spans="3:3">
      <c r="C9751">
        <v>224437</v>
      </c>
    </row>
    <row r="9752" spans="3:3">
      <c r="C9752">
        <v>224460</v>
      </c>
    </row>
    <row r="9753" spans="3:3">
      <c r="C9753">
        <v>224483</v>
      </c>
    </row>
    <row r="9754" spans="3:3">
      <c r="C9754">
        <v>224506</v>
      </c>
    </row>
    <row r="9755" spans="3:3">
      <c r="C9755">
        <v>224529</v>
      </c>
    </row>
    <row r="9756" spans="3:3">
      <c r="C9756">
        <v>224552</v>
      </c>
    </row>
    <row r="9757" spans="3:3">
      <c r="C9757">
        <v>224575</v>
      </c>
    </row>
    <row r="9758" spans="3:3">
      <c r="C9758">
        <v>224598</v>
      </c>
    </row>
    <row r="9759" spans="3:3">
      <c r="C9759">
        <v>224621</v>
      </c>
    </row>
    <row r="9760" spans="3:3">
      <c r="C9760">
        <v>224644</v>
      </c>
    </row>
    <row r="9761" spans="3:3">
      <c r="C9761">
        <v>224667</v>
      </c>
    </row>
    <row r="9762" spans="3:3">
      <c r="C9762">
        <v>224690</v>
      </c>
    </row>
    <row r="9763" spans="3:3">
      <c r="C9763">
        <v>224713</v>
      </c>
    </row>
    <row r="9764" spans="3:3">
      <c r="C9764">
        <v>224737</v>
      </c>
    </row>
    <row r="9765" spans="3:3">
      <c r="C9765">
        <v>224760</v>
      </c>
    </row>
    <row r="9766" spans="3:3">
      <c r="C9766">
        <v>224783</v>
      </c>
    </row>
    <row r="9767" spans="3:3">
      <c r="C9767">
        <v>224806</v>
      </c>
    </row>
    <row r="9768" spans="3:3">
      <c r="C9768">
        <v>224829</v>
      </c>
    </row>
    <row r="9769" spans="3:3">
      <c r="C9769">
        <v>224852</v>
      </c>
    </row>
    <row r="9770" spans="3:3">
      <c r="C9770">
        <v>224875</v>
      </c>
    </row>
    <row r="9771" spans="3:3">
      <c r="C9771">
        <v>224898</v>
      </c>
    </row>
    <row r="9772" spans="3:3">
      <c r="C9772">
        <v>224921</v>
      </c>
    </row>
    <row r="9773" spans="3:3">
      <c r="C9773">
        <v>224944</v>
      </c>
    </row>
    <row r="9774" spans="3:3">
      <c r="C9774">
        <v>224967</v>
      </c>
    </row>
    <row r="9775" spans="3:3">
      <c r="C9775">
        <v>224990</v>
      </c>
    </row>
    <row r="9776" spans="3:3">
      <c r="C9776">
        <v>225013</v>
      </c>
    </row>
    <row r="9777" spans="3:3">
      <c r="C9777">
        <v>225037</v>
      </c>
    </row>
    <row r="9778" spans="3:3">
      <c r="C9778">
        <v>225060</v>
      </c>
    </row>
    <row r="9779" spans="3:3">
      <c r="C9779">
        <v>225083</v>
      </c>
    </row>
    <row r="9780" spans="3:3">
      <c r="C9780">
        <v>225106</v>
      </c>
    </row>
    <row r="9781" spans="3:3">
      <c r="C9781">
        <v>225129</v>
      </c>
    </row>
    <row r="9782" spans="3:3">
      <c r="C9782">
        <v>225152</v>
      </c>
    </row>
    <row r="9783" spans="3:3">
      <c r="C9783">
        <v>225175</v>
      </c>
    </row>
    <row r="9784" spans="3:3">
      <c r="C9784">
        <v>225198</v>
      </c>
    </row>
    <row r="9785" spans="3:3">
      <c r="C9785">
        <v>225221</v>
      </c>
    </row>
    <row r="9786" spans="3:3">
      <c r="C9786">
        <v>225244</v>
      </c>
    </row>
    <row r="9787" spans="3:3">
      <c r="C9787">
        <v>225267</v>
      </c>
    </row>
    <row r="9788" spans="3:3">
      <c r="C9788">
        <v>225290</v>
      </c>
    </row>
    <row r="9789" spans="3:3">
      <c r="C9789">
        <v>225313</v>
      </c>
    </row>
    <row r="9790" spans="3:3">
      <c r="C9790">
        <v>225337</v>
      </c>
    </row>
    <row r="9791" spans="3:3">
      <c r="C9791">
        <v>225360</v>
      </c>
    </row>
    <row r="9792" spans="3:3">
      <c r="C9792">
        <v>225383</v>
      </c>
    </row>
    <row r="9793" spans="3:3">
      <c r="C9793">
        <v>225406</v>
      </c>
    </row>
    <row r="9794" spans="3:3">
      <c r="C9794">
        <v>225429</v>
      </c>
    </row>
    <row r="9795" spans="3:3">
      <c r="C9795">
        <v>225452</v>
      </c>
    </row>
    <row r="9796" spans="3:3">
      <c r="C9796">
        <v>225475</v>
      </c>
    </row>
    <row r="9797" spans="3:3">
      <c r="C9797">
        <v>225498</v>
      </c>
    </row>
    <row r="9798" spans="3:3">
      <c r="C9798">
        <v>225521</v>
      </c>
    </row>
    <row r="9799" spans="3:3">
      <c r="C9799">
        <v>225544</v>
      </c>
    </row>
    <row r="9800" spans="3:3">
      <c r="C9800">
        <v>225567</v>
      </c>
    </row>
    <row r="9801" spans="3:3">
      <c r="C9801">
        <v>225590</v>
      </c>
    </row>
    <row r="9802" spans="3:3">
      <c r="C9802">
        <v>225613</v>
      </c>
    </row>
    <row r="9803" spans="3:3">
      <c r="C9803">
        <v>225637</v>
      </c>
    </row>
    <row r="9804" spans="3:3">
      <c r="C9804">
        <v>225660</v>
      </c>
    </row>
    <row r="9805" spans="3:3">
      <c r="C9805">
        <v>225683</v>
      </c>
    </row>
    <row r="9806" spans="3:3">
      <c r="C9806">
        <v>225706</v>
      </c>
    </row>
    <row r="9807" spans="3:3">
      <c r="C9807">
        <v>225729</v>
      </c>
    </row>
    <row r="9808" spans="3:3">
      <c r="C9808">
        <v>225752</v>
      </c>
    </row>
    <row r="9809" spans="3:3">
      <c r="C9809">
        <v>225775</v>
      </c>
    </row>
    <row r="9810" spans="3:3">
      <c r="C9810">
        <v>225798</v>
      </c>
    </row>
    <row r="9811" spans="3:3">
      <c r="C9811">
        <v>225821</v>
      </c>
    </row>
    <row r="9812" spans="3:3">
      <c r="C9812">
        <v>225844</v>
      </c>
    </row>
    <row r="9813" spans="3:3">
      <c r="C9813">
        <v>225867</v>
      </c>
    </row>
    <row r="9814" spans="3:3">
      <c r="C9814">
        <v>225890</v>
      </c>
    </row>
    <row r="9815" spans="3:3">
      <c r="C9815">
        <v>225913</v>
      </c>
    </row>
    <row r="9816" spans="3:3">
      <c r="C9816">
        <v>225937</v>
      </c>
    </row>
    <row r="9817" spans="3:3">
      <c r="C9817">
        <v>225960</v>
      </c>
    </row>
    <row r="9818" spans="3:3">
      <c r="C9818">
        <v>225983</v>
      </c>
    </row>
    <row r="9819" spans="3:3">
      <c r="C9819">
        <v>226006</v>
      </c>
    </row>
    <row r="9820" spans="3:3">
      <c r="C9820">
        <v>226029</v>
      </c>
    </row>
    <row r="9821" spans="3:3">
      <c r="C9821">
        <v>226052</v>
      </c>
    </row>
    <row r="9822" spans="3:3">
      <c r="C9822">
        <v>226075</v>
      </c>
    </row>
    <row r="9823" spans="3:3">
      <c r="C9823">
        <v>226098</v>
      </c>
    </row>
    <row r="9824" spans="3:3">
      <c r="C9824">
        <v>226121</v>
      </c>
    </row>
    <row r="9825" spans="3:3">
      <c r="C9825">
        <v>226144</v>
      </c>
    </row>
    <row r="9826" spans="3:3">
      <c r="C9826">
        <v>226167</v>
      </c>
    </row>
    <row r="9827" spans="3:3">
      <c r="C9827">
        <v>226190</v>
      </c>
    </row>
    <row r="9828" spans="3:3">
      <c r="C9828">
        <v>226213</v>
      </c>
    </row>
    <row r="9829" spans="3:3">
      <c r="C9829">
        <v>226237</v>
      </c>
    </row>
    <row r="9830" spans="3:3">
      <c r="C9830">
        <v>226260</v>
      </c>
    </row>
    <row r="9831" spans="3:3">
      <c r="C9831">
        <v>226283</v>
      </c>
    </row>
    <row r="9832" spans="3:3">
      <c r="C9832">
        <v>226306</v>
      </c>
    </row>
    <row r="9833" spans="3:3">
      <c r="C9833">
        <v>226329</v>
      </c>
    </row>
    <row r="9834" spans="3:3">
      <c r="C9834">
        <v>226352</v>
      </c>
    </row>
    <row r="9835" spans="3:3">
      <c r="C9835">
        <v>226375</v>
      </c>
    </row>
    <row r="9836" spans="3:3">
      <c r="C9836">
        <v>226398</v>
      </c>
    </row>
    <row r="9837" spans="3:3">
      <c r="C9837">
        <v>226421</v>
      </c>
    </row>
    <row r="9838" spans="3:3">
      <c r="C9838">
        <v>226444</v>
      </c>
    </row>
    <row r="9839" spans="3:3">
      <c r="C9839">
        <v>226467</v>
      </c>
    </row>
    <row r="9840" spans="3:3">
      <c r="C9840">
        <v>226490</v>
      </c>
    </row>
    <row r="9841" spans="3:3">
      <c r="C9841">
        <v>226513</v>
      </c>
    </row>
    <row r="9842" spans="3:3">
      <c r="C9842">
        <v>226537</v>
      </c>
    </row>
    <row r="9843" spans="3:3">
      <c r="C9843">
        <v>226560</v>
      </c>
    </row>
    <row r="9844" spans="3:3">
      <c r="C9844">
        <v>226583</v>
      </c>
    </row>
    <row r="9845" spans="3:3">
      <c r="C9845">
        <v>226606</v>
      </c>
    </row>
    <row r="9846" spans="3:3">
      <c r="C9846">
        <v>226629</v>
      </c>
    </row>
    <row r="9847" spans="3:3">
      <c r="C9847">
        <v>226652</v>
      </c>
    </row>
    <row r="9848" spans="3:3">
      <c r="C9848">
        <v>226675</v>
      </c>
    </row>
    <row r="9849" spans="3:3">
      <c r="C9849">
        <v>226698</v>
      </c>
    </row>
    <row r="9850" spans="3:3">
      <c r="C9850">
        <v>226721</v>
      </c>
    </row>
    <row r="9851" spans="3:3">
      <c r="C9851">
        <v>226744</v>
      </c>
    </row>
    <row r="9852" spans="3:3">
      <c r="C9852">
        <v>226767</v>
      </c>
    </row>
    <row r="9853" spans="3:3">
      <c r="C9853">
        <v>226790</v>
      </c>
    </row>
    <row r="9854" spans="3:3">
      <c r="C9854">
        <v>226813</v>
      </c>
    </row>
    <row r="9855" spans="3:3">
      <c r="C9855">
        <v>226837</v>
      </c>
    </row>
    <row r="9856" spans="3:3">
      <c r="C9856">
        <v>226860</v>
      </c>
    </row>
    <row r="9857" spans="3:3">
      <c r="C9857">
        <v>226883</v>
      </c>
    </row>
    <row r="9858" spans="3:3">
      <c r="C9858">
        <v>226906</v>
      </c>
    </row>
    <row r="9859" spans="3:3">
      <c r="C9859">
        <v>226929</v>
      </c>
    </row>
    <row r="9860" spans="3:3">
      <c r="C9860">
        <v>226952</v>
      </c>
    </row>
    <row r="9861" spans="3:3">
      <c r="C9861">
        <v>226975</v>
      </c>
    </row>
    <row r="9862" spans="3:3">
      <c r="C9862">
        <v>226998</v>
      </c>
    </row>
    <row r="9863" spans="3:3">
      <c r="C9863">
        <v>227021</v>
      </c>
    </row>
    <row r="9864" spans="3:3">
      <c r="C9864">
        <v>227044</v>
      </c>
    </row>
    <row r="9865" spans="3:3">
      <c r="C9865">
        <v>227067</v>
      </c>
    </row>
    <row r="9866" spans="3:3">
      <c r="C9866">
        <v>227090</v>
      </c>
    </row>
    <row r="9867" spans="3:3">
      <c r="C9867">
        <v>227113</v>
      </c>
    </row>
    <row r="9868" spans="3:3">
      <c r="C9868">
        <v>227137</v>
      </c>
    </row>
    <row r="9869" spans="3:3">
      <c r="C9869">
        <v>227160</v>
      </c>
    </row>
    <row r="9870" spans="3:3">
      <c r="C9870">
        <v>227183</v>
      </c>
    </row>
    <row r="9871" spans="3:3">
      <c r="C9871">
        <v>227206</v>
      </c>
    </row>
    <row r="9872" spans="3:3">
      <c r="C9872">
        <v>227229</v>
      </c>
    </row>
    <row r="9873" spans="3:3">
      <c r="C9873">
        <v>227252</v>
      </c>
    </row>
    <row r="9874" spans="3:3">
      <c r="C9874">
        <v>227275</v>
      </c>
    </row>
    <row r="9875" spans="3:3">
      <c r="C9875">
        <v>227298</v>
      </c>
    </row>
    <row r="9876" spans="3:3">
      <c r="C9876">
        <v>227321</v>
      </c>
    </row>
    <row r="9877" spans="3:3">
      <c r="C9877">
        <v>227344</v>
      </c>
    </row>
    <row r="9878" spans="3:3">
      <c r="C9878">
        <v>227367</v>
      </c>
    </row>
    <row r="9879" spans="3:3">
      <c r="C9879">
        <v>227390</v>
      </c>
    </row>
    <row r="9880" spans="3:3">
      <c r="C9880">
        <v>227413</v>
      </c>
    </row>
    <row r="9881" spans="3:3">
      <c r="C9881">
        <v>227437</v>
      </c>
    </row>
    <row r="9882" spans="3:3">
      <c r="C9882">
        <v>227460</v>
      </c>
    </row>
    <row r="9883" spans="3:3">
      <c r="C9883">
        <v>227483</v>
      </c>
    </row>
    <row r="9884" spans="3:3">
      <c r="C9884">
        <v>227506</v>
      </c>
    </row>
    <row r="9885" spans="3:3">
      <c r="C9885">
        <v>227529</v>
      </c>
    </row>
    <row r="9886" spans="3:3">
      <c r="C9886">
        <v>227552</v>
      </c>
    </row>
    <row r="9887" spans="3:3">
      <c r="C9887">
        <v>227575</v>
      </c>
    </row>
    <row r="9888" spans="3:3">
      <c r="C9888">
        <v>227598</v>
      </c>
    </row>
    <row r="9889" spans="3:3">
      <c r="C9889">
        <v>227621</v>
      </c>
    </row>
    <row r="9890" spans="3:3">
      <c r="C9890">
        <v>227644</v>
      </c>
    </row>
    <row r="9891" spans="3:3">
      <c r="C9891">
        <v>227667</v>
      </c>
    </row>
    <row r="9892" spans="3:3">
      <c r="C9892">
        <v>227690</v>
      </c>
    </row>
    <row r="9893" spans="3:3">
      <c r="C9893">
        <v>227713</v>
      </c>
    </row>
    <row r="9894" spans="3:3">
      <c r="C9894">
        <v>227737</v>
      </c>
    </row>
    <row r="9895" spans="3:3">
      <c r="C9895">
        <v>227760</v>
      </c>
    </row>
    <row r="9896" spans="3:3">
      <c r="C9896">
        <v>227783</v>
      </c>
    </row>
    <row r="9897" spans="3:3">
      <c r="C9897">
        <v>227806</v>
      </c>
    </row>
    <row r="9898" spans="3:3">
      <c r="C9898">
        <v>227829</v>
      </c>
    </row>
    <row r="9899" spans="3:3">
      <c r="C9899">
        <v>227852</v>
      </c>
    </row>
    <row r="9900" spans="3:3">
      <c r="C9900">
        <v>227875</v>
      </c>
    </row>
    <row r="9901" spans="3:3">
      <c r="C9901">
        <v>227898</v>
      </c>
    </row>
    <row r="9902" spans="3:3">
      <c r="C9902">
        <v>227921</v>
      </c>
    </row>
    <row r="9903" spans="3:3">
      <c r="C9903">
        <v>227944</v>
      </c>
    </row>
    <row r="9904" spans="3:3">
      <c r="C9904">
        <v>227967</v>
      </c>
    </row>
    <row r="9905" spans="3:3">
      <c r="C9905">
        <v>227990</v>
      </c>
    </row>
    <row r="9906" spans="3:3">
      <c r="C9906">
        <v>228013</v>
      </c>
    </row>
    <row r="9907" spans="3:3">
      <c r="C9907">
        <v>228037</v>
      </c>
    </row>
    <row r="9908" spans="3:3">
      <c r="C9908">
        <v>228060</v>
      </c>
    </row>
    <row r="9909" spans="3:3">
      <c r="C9909">
        <v>228083</v>
      </c>
    </row>
    <row r="9910" spans="3:3">
      <c r="C9910">
        <v>228106</v>
      </c>
    </row>
    <row r="9911" spans="3:3">
      <c r="C9911">
        <v>228129</v>
      </c>
    </row>
    <row r="9912" spans="3:3">
      <c r="C9912">
        <v>228152</v>
      </c>
    </row>
    <row r="9913" spans="3:3">
      <c r="C9913">
        <v>228175</v>
      </c>
    </row>
    <row r="9914" spans="3:3">
      <c r="C9914">
        <v>228198</v>
      </c>
    </row>
    <row r="9915" spans="3:3">
      <c r="C9915">
        <v>228221</v>
      </c>
    </row>
    <row r="9916" spans="3:3">
      <c r="C9916">
        <v>228244</v>
      </c>
    </row>
    <row r="9917" spans="3:3">
      <c r="C9917">
        <v>228267</v>
      </c>
    </row>
    <row r="9918" spans="3:3">
      <c r="C9918">
        <v>228290</v>
      </c>
    </row>
    <row r="9919" spans="3:3">
      <c r="C9919">
        <v>228313</v>
      </c>
    </row>
    <row r="9920" spans="3:3">
      <c r="C9920">
        <v>228337</v>
      </c>
    </row>
    <row r="9921" spans="3:3">
      <c r="C9921">
        <v>228360</v>
      </c>
    </row>
    <row r="9922" spans="3:3">
      <c r="C9922">
        <v>228383</v>
      </c>
    </row>
    <row r="9923" spans="3:3">
      <c r="C9923">
        <v>228406</v>
      </c>
    </row>
    <row r="9924" spans="3:3">
      <c r="C9924">
        <v>228429</v>
      </c>
    </row>
    <row r="9925" spans="3:3">
      <c r="C9925">
        <v>228452</v>
      </c>
    </row>
    <row r="9926" spans="3:3">
      <c r="C9926">
        <v>228475</v>
      </c>
    </row>
    <row r="9927" spans="3:3">
      <c r="C9927">
        <v>228498</v>
      </c>
    </row>
    <row r="9928" spans="3:3">
      <c r="C9928">
        <v>228521</v>
      </c>
    </row>
    <row r="9929" spans="3:3">
      <c r="C9929">
        <v>228544</v>
      </c>
    </row>
    <row r="9930" spans="3:3">
      <c r="C9930">
        <v>228567</v>
      </c>
    </row>
    <row r="9931" spans="3:3">
      <c r="C9931">
        <v>228590</v>
      </c>
    </row>
    <row r="9932" spans="3:3">
      <c r="C9932">
        <v>228613</v>
      </c>
    </row>
    <row r="9933" spans="3:3">
      <c r="C9933">
        <v>228637</v>
      </c>
    </row>
    <row r="9934" spans="3:3">
      <c r="C9934">
        <v>228660</v>
      </c>
    </row>
    <row r="9935" spans="3:3">
      <c r="C9935">
        <v>228683</v>
      </c>
    </row>
    <row r="9936" spans="3:3">
      <c r="C9936">
        <v>228706</v>
      </c>
    </row>
    <row r="9937" spans="3:3">
      <c r="C9937">
        <v>228729</v>
      </c>
    </row>
    <row r="9938" spans="3:3">
      <c r="C9938">
        <v>228752</v>
      </c>
    </row>
    <row r="9939" spans="3:3">
      <c r="C9939">
        <v>228775</v>
      </c>
    </row>
    <row r="9940" spans="3:3">
      <c r="C9940">
        <v>228798</v>
      </c>
    </row>
    <row r="9941" spans="3:3">
      <c r="C9941">
        <v>228821</v>
      </c>
    </row>
    <row r="9942" spans="3:3">
      <c r="C9942">
        <v>228844</v>
      </c>
    </row>
    <row r="9943" spans="3:3">
      <c r="C9943">
        <v>228867</v>
      </c>
    </row>
    <row r="9944" spans="3:3">
      <c r="C9944">
        <v>228890</v>
      </c>
    </row>
    <row r="9945" spans="3:3">
      <c r="C9945">
        <v>228913</v>
      </c>
    </row>
    <row r="9946" spans="3:3">
      <c r="C9946">
        <v>228937</v>
      </c>
    </row>
    <row r="9947" spans="3:3">
      <c r="C9947">
        <v>228960</v>
      </c>
    </row>
    <row r="9948" spans="3:3">
      <c r="C9948">
        <v>228983</v>
      </c>
    </row>
    <row r="9949" spans="3:3">
      <c r="C9949">
        <v>229006</v>
      </c>
    </row>
    <row r="9950" spans="3:3">
      <c r="C9950">
        <v>229029</v>
      </c>
    </row>
    <row r="9951" spans="3:3">
      <c r="C9951">
        <v>229052</v>
      </c>
    </row>
    <row r="9952" spans="3:3">
      <c r="C9952">
        <v>229075</v>
      </c>
    </row>
    <row r="9953" spans="3:3">
      <c r="C9953">
        <v>229098</v>
      </c>
    </row>
    <row r="9954" spans="3:3">
      <c r="C9954">
        <v>229121</v>
      </c>
    </row>
    <row r="9955" spans="3:3">
      <c r="C9955">
        <v>229144</v>
      </c>
    </row>
    <row r="9956" spans="3:3">
      <c r="C9956">
        <v>229167</v>
      </c>
    </row>
    <row r="9957" spans="3:3">
      <c r="C9957">
        <v>229190</v>
      </c>
    </row>
    <row r="9958" spans="3:3">
      <c r="C9958">
        <v>229213</v>
      </c>
    </row>
    <row r="9959" spans="3:3">
      <c r="C9959">
        <v>229237</v>
      </c>
    </row>
    <row r="9960" spans="3:3">
      <c r="C9960">
        <v>229260</v>
      </c>
    </row>
    <row r="9961" spans="3:3">
      <c r="C9961">
        <v>229283</v>
      </c>
    </row>
    <row r="9962" spans="3:3">
      <c r="C9962">
        <v>229306</v>
      </c>
    </row>
    <row r="9963" spans="3:3">
      <c r="C9963">
        <v>229329</v>
      </c>
    </row>
    <row r="9964" spans="3:3">
      <c r="C9964">
        <v>229352</v>
      </c>
    </row>
    <row r="9965" spans="3:3">
      <c r="C9965">
        <v>229375</v>
      </c>
    </row>
    <row r="9966" spans="3:3">
      <c r="C9966">
        <v>229398</v>
      </c>
    </row>
    <row r="9967" spans="3:3">
      <c r="C9967">
        <v>229421</v>
      </c>
    </row>
    <row r="9968" spans="3:3">
      <c r="C9968">
        <v>229444</v>
      </c>
    </row>
    <row r="9969" spans="3:3">
      <c r="C9969">
        <v>229467</v>
      </c>
    </row>
    <row r="9970" spans="3:3">
      <c r="C9970">
        <v>229490</v>
      </c>
    </row>
    <row r="9971" spans="3:3">
      <c r="C9971">
        <v>229513</v>
      </c>
    </row>
    <row r="9972" spans="3:3">
      <c r="C9972">
        <v>229537</v>
      </c>
    </row>
    <row r="9973" spans="3:3">
      <c r="C9973">
        <v>229560</v>
      </c>
    </row>
    <row r="9974" spans="3:3">
      <c r="C9974">
        <v>229583</v>
      </c>
    </row>
    <row r="9975" spans="3:3">
      <c r="C9975">
        <v>229606</v>
      </c>
    </row>
    <row r="9976" spans="3:3">
      <c r="C9976">
        <v>229629</v>
      </c>
    </row>
    <row r="9977" spans="3:3">
      <c r="C9977">
        <v>229652</v>
      </c>
    </row>
    <row r="9978" spans="3:3">
      <c r="C9978">
        <v>229675</v>
      </c>
    </row>
    <row r="9979" spans="3:3">
      <c r="C9979">
        <v>229698</v>
      </c>
    </row>
    <row r="9980" spans="3:3">
      <c r="C9980">
        <v>229721</v>
      </c>
    </row>
    <row r="9981" spans="3:3">
      <c r="C9981">
        <v>229744</v>
      </c>
    </row>
    <row r="9982" spans="3:3">
      <c r="C9982">
        <v>229767</v>
      </c>
    </row>
    <row r="9983" spans="3:3">
      <c r="C9983">
        <v>229790</v>
      </c>
    </row>
    <row r="9984" spans="3:3">
      <c r="C9984">
        <v>229813</v>
      </c>
    </row>
    <row r="9985" spans="3:3">
      <c r="C9985">
        <v>229837</v>
      </c>
    </row>
    <row r="9986" spans="3:3">
      <c r="C9986">
        <v>229860</v>
      </c>
    </row>
    <row r="9987" spans="3:3">
      <c r="C9987">
        <v>229883</v>
      </c>
    </row>
    <row r="9988" spans="3:3">
      <c r="C9988">
        <v>229906</v>
      </c>
    </row>
    <row r="9989" spans="3:3">
      <c r="C9989">
        <v>229929</v>
      </c>
    </row>
    <row r="9990" spans="3:3">
      <c r="C9990">
        <v>229952</v>
      </c>
    </row>
    <row r="9991" spans="3:3">
      <c r="C9991">
        <v>229975</v>
      </c>
    </row>
    <row r="9992" spans="3:3">
      <c r="C9992">
        <v>229998</v>
      </c>
    </row>
    <row r="9993" spans="3:3">
      <c r="C9993">
        <v>230021</v>
      </c>
    </row>
    <row r="9994" spans="3:3">
      <c r="C9994">
        <v>230044</v>
      </c>
    </row>
    <row r="9995" spans="3:3">
      <c r="C9995">
        <v>230067</v>
      </c>
    </row>
    <row r="9996" spans="3:3">
      <c r="C9996">
        <v>230090</v>
      </c>
    </row>
    <row r="9997" spans="3:3">
      <c r="C9997">
        <v>230113</v>
      </c>
    </row>
    <row r="9998" spans="3:3">
      <c r="C9998">
        <v>230137</v>
      </c>
    </row>
    <row r="9999" spans="3:3">
      <c r="C9999">
        <v>230160</v>
      </c>
    </row>
    <row r="10000" spans="3:3">
      <c r="C10000">
        <v>230183</v>
      </c>
    </row>
    <row r="10001" spans="3:3">
      <c r="C10001">
        <v>230206</v>
      </c>
    </row>
    <row r="10002" spans="3:3">
      <c r="C10002">
        <v>230229</v>
      </c>
    </row>
    <row r="10003" spans="3:3">
      <c r="C10003">
        <v>230252</v>
      </c>
    </row>
    <row r="10004" spans="3:3">
      <c r="C10004">
        <v>230275</v>
      </c>
    </row>
    <row r="10005" spans="3:3">
      <c r="C10005">
        <v>230298</v>
      </c>
    </row>
    <row r="10006" spans="3:3">
      <c r="C10006">
        <v>230321</v>
      </c>
    </row>
    <row r="10007" spans="3:3">
      <c r="C10007">
        <v>230344</v>
      </c>
    </row>
    <row r="10008" spans="3:3">
      <c r="C10008">
        <v>230367</v>
      </c>
    </row>
    <row r="10009" spans="3:3">
      <c r="C10009">
        <v>230390</v>
      </c>
    </row>
    <row r="10010" spans="3:3">
      <c r="C10010">
        <v>230413</v>
      </c>
    </row>
    <row r="10011" spans="3:3">
      <c r="C10011">
        <v>230437</v>
      </c>
    </row>
    <row r="10012" spans="3:3">
      <c r="C10012">
        <v>230460</v>
      </c>
    </row>
    <row r="10013" spans="3:3">
      <c r="C10013">
        <v>230483</v>
      </c>
    </row>
    <row r="10014" spans="3:3">
      <c r="C10014">
        <v>230506</v>
      </c>
    </row>
    <row r="10015" spans="3:3">
      <c r="C10015">
        <v>230529</v>
      </c>
    </row>
    <row r="10016" spans="3:3">
      <c r="C10016">
        <v>230552</v>
      </c>
    </row>
    <row r="10017" spans="3:3">
      <c r="C10017">
        <v>230575</v>
      </c>
    </row>
    <row r="10018" spans="3:3">
      <c r="C10018">
        <v>230598</v>
      </c>
    </row>
    <row r="10019" spans="3:3">
      <c r="C10019">
        <v>230621</v>
      </c>
    </row>
    <row r="10020" spans="3:3">
      <c r="C10020">
        <v>230644</v>
      </c>
    </row>
    <row r="10021" spans="3:3">
      <c r="C10021">
        <v>230667</v>
      </c>
    </row>
    <row r="10022" spans="3:3">
      <c r="C10022">
        <v>230690</v>
      </c>
    </row>
    <row r="10023" spans="3:3">
      <c r="C10023">
        <v>230713</v>
      </c>
    </row>
    <row r="10024" spans="3:3">
      <c r="C10024">
        <v>230737</v>
      </c>
    </row>
    <row r="10025" spans="3:3">
      <c r="C10025">
        <v>230760</v>
      </c>
    </row>
    <row r="10026" spans="3:3">
      <c r="C10026">
        <v>230783</v>
      </c>
    </row>
    <row r="10027" spans="3:3">
      <c r="C10027">
        <v>230806</v>
      </c>
    </row>
    <row r="10028" spans="3:3">
      <c r="C10028">
        <v>230829</v>
      </c>
    </row>
    <row r="10029" spans="3:3">
      <c r="C10029">
        <v>230852</v>
      </c>
    </row>
    <row r="10030" spans="3:3">
      <c r="C10030">
        <v>230875</v>
      </c>
    </row>
    <row r="10031" spans="3:3">
      <c r="C10031">
        <v>230898</v>
      </c>
    </row>
    <row r="10032" spans="3:3">
      <c r="C10032">
        <v>230921</v>
      </c>
    </row>
    <row r="10033" spans="3:3">
      <c r="C10033">
        <v>230944</v>
      </c>
    </row>
    <row r="10034" spans="3:3">
      <c r="C10034">
        <v>230967</v>
      </c>
    </row>
    <row r="10035" spans="3:3">
      <c r="C10035">
        <v>230990</v>
      </c>
    </row>
    <row r="10036" spans="3:3">
      <c r="C10036">
        <v>231013</v>
      </c>
    </row>
    <row r="10037" spans="3:3">
      <c r="C10037">
        <v>231037</v>
      </c>
    </row>
    <row r="10038" spans="3:3">
      <c r="C10038">
        <v>231060</v>
      </c>
    </row>
    <row r="10039" spans="3:3">
      <c r="C10039">
        <v>231083</v>
      </c>
    </row>
    <row r="10040" spans="3:3">
      <c r="C10040">
        <v>231106</v>
      </c>
    </row>
    <row r="10041" spans="3:3">
      <c r="C10041">
        <v>231129</v>
      </c>
    </row>
    <row r="10042" spans="3:3">
      <c r="C10042">
        <v>231152</v>
      </c>
    </row>
    <row r="10043" spans="3:3">
      <c r="C10043">
        <v>231175</v>
      </c>
    </row>
    <row r="10044" spans="3:3">
      <c r="C10044">
        <v>231198</v>
      </c>
    </row>
    <row r="10045" spans="3:3">
      <c r="C10045">
        <v>231221</v>
      </c>
    </row>
    <row r="10046" spans="3:3">
      <c r="C10046">
        <v>231244</v>
      </c>
    </row>
    <row r="10047" spans="3:3">
      <c r="C10047">
        <v>231267</v>
      </c>
    </row>
    <row r="10048" spans="3:3">
      <c r="C10048">
        <v>231290</v>
      </c>
    </row>
    <row r="10049" spans="3:3">
      <c r="C10049">
        <v>231313</v>
      </c>
    </row>
    <row r="10050" spans="3:3">
      <c r="C10050">
        <v>231337</v>
      </c>
    </row>
    <row r="10051" spans="3:3">
      <c r="C10051">
        <v>231360</v>
      </c>
    </row>
    <row r="10052" spans="3:3">
      <c r="C10052">
        <v>231383</v>
      </c>
    </row>
    <row r="10053" spans="3:3">
      <c r="C10053">
        <v>231406</v>
      </c>
    </row>
    <row r="10054" spans="3:3">
      <c r="C10054">
        <v>231429</v>
      </c>
    </row>
    <row r="10055" spans="3:3">
      <c r="C10055">
        <v>231452</v>
      </c>
    </row>
    <row r="10056" spans="3:3">
      <c r="C10056">
        <v>231475</v>
      </c>
    </row>
    <row r="10057" spans="3:3">
      <c r="C10057">
        <v>231498</v>
      </c>
    </row>
    <row r="10058" spans="3:3">
      <c r="C10058">
        <v>231521</v>
      </c>
    </row>
    <row r="10059" spans="3:3">
      <c r="C10059">
        <v>231544</v>
      </c>
    </row>
    <row r="10060" spans="3:3">
      <c r="C10060">
        <v>231567</v>
      </c>
    </row>
    <row r="10061" spans="3:3">
      <c r="C10061">
        <v>231590</v>
      </c>
    </row>
    <row r="10062" spans="3:3">
      <c r="C10062">
        <v>231613</v>
      </c>
    </row>
    <row r="10063" spans="3:3">
      <c r="C10063">
        <v>231637</v>
      </c>
    </row>
    <row r="10064" spans="3:3">
      <c r="C10064">
        <v>231660</v>
      </c>
    </row>
    <row r="10065" spans="3:3">
      <c r="C10065">
        <v>231683</v>
      </c>
    </row>
    <row r="10066" spans="3:3">
      <c r="C10066">
        <v>231706</v>
      </c>
    </row>
    <row r="10067" spans="3:3">
      <c r="C10067">
        <v>231729</v>
      </c>
    </row>
    <row r="10068" spans="3:3">
      <c r="C10068">
        <v>231752</v>
      </c>
    </row>
    <row r="10069" spans="3:3">
      <c r="C10069">
        <v>231775</v>
      </c>
    </row>
    <row r="10070" spans="3:3">
      <c r="C10070">
        <v>231798</v>
      </c>
    </row>
    <row r="10071" spans="3:3">
      <c r="C10071">
        <v>231821</v>
      </c>
    </row>
    <row r="10072" spans="3:3">
      <c r="C10072">
        <v>231844</v>
      </c>
    </row>
    <row r="10073" spans="3:3">
      <c r="C10073">
        <v>231867</v>
      </c>
    </row>
    <row r="10074" spans="3:3">
      <c r="C10074">
        <v>231890</v>
      </c>
    </row>
    <row r="10075" spans="3:3">
      <c r="C10075">
        <v>231913</v>
      </c>
    </row>
    <row r="10076" spans="3:3">
      <c r="C10076">
        <v>231937</v>
      </c>
    </row>
    <row r="10077" spans="3:3">
      <c r="C10077">
        <v>231960</v>
      </c>
    </row>
    <row r="10078" spans="3:3">
      <c r="C10078">
        <v>231983</v>
      </c>
    </row>
    <row r="10079" spans="3:3">
      <c r="C10079">
        <v>232006</v>
      </c>
    </row>
    <row r="10080" spans="3:3">
      <c r="C10080">
        <v>232029</v>
      </c>
    </row>
    <row r="10081" spans="3:3">
      <c r="C10081">
        <v>232052</v>
      </c>
    </row>
    <row r="10082" spans="3:3">
      <c r="C10082">
        <v>232075</v>
      </c>
    </row>
    <row r="10083" spans="3:3">
      <c r="C10083">
        <v>232098</v>
      </c>
    </row>
    <row r="10084" spans="3:3">
      <c r="C10084">
        <v>232121</v>
      </c>
    </row>
    <row r="10085" spans="3:3">
      <c r="C10085">
        <v>232144</v>
      </c>
    </row>
    <row r="10086" spans="3:3">
      <c r="C10086">
        <v>232167</v>
      </c>
    </row>
    <row r="10087" spans="3:3">
      <c r="C10087">
        <v>232190</v>
      </c>
    </row>
    <row r="10088" spans="3:3">
      <c r="C10088">
        <v>232213</v>
      </c>
    </row>
    <row r="10089" spans="3:3">
      <c r="C10089">
        <v>232237</v>
      </c>
    </row>
    <row r="10090" spans="3:3">
      <c r="C10090">
        <v>232260</v>
      </c>
    </row>
    <row r="10091" spans="3:3">
      <c r="C10091">
        <v>232283</v>
      </c>
    </row>
    <row r="10092" spans="3:3">
      <c r="C10092">
        <v>232306</v>
      </c>
    </row>
    <row r="10093" spans="3:3">
      <c r="C10093">
        <v>232329</v>
      </c>
    </row>
    <row r="10094" spans="3:3">
      <c r="C10094">
        <v>232352</v>
      </c>
    </row>
    <row r="10095" spans="3:3">
      <c r="C10095">
        <v>232375</v>
      </c>
    </row>
    <row r="10096" spans="3:3">
      <c r="C10096">
        <v>232398</v>
      </c>
    </row>
    <row r="10097" spans="3:3">
      <c r="C10097">
        <v>232421</v>
      </c>
    </row>
    <row r="10098" spans="3:3">
      <c r="C10098">
        <v>232444</v>
      </c>
    </row>
    <row r="10099" spans="3:3">
      <c r="C10099">
        <v>232467</v>
      </c>
    </row>
    <row r="10100" spans="3:3">
      <c r="C10100">
        <v>232490</v>
      </c>
    </row>
    <row r="10101" spans="3:3">
      <c r="C10101">
        <v>232513</v>
      </c>
    </row>
    <row r="10102" spans="3:3">
      <c r="C10102">
        <v>232537</v>
      </c>
    </row>
    <row r="10103" spans="3:3">
      <c r="C10103">
        <v>232560</v>
      </c>
    </row>
    <row r="10104" spans="3:3">
      <c r="C10104">
        <v>232583</v>
      </c>
    </row>
    <row r="10105" spans="3:3">
      <c r="C10105">
        <v>232606</v>
      </c>
    </row>
    <row r="10106" spans="3:3">
      <c r="C10106">
        <v>232629</v>
      </c>
    </row>
    <row r="10107" spans="3:3">
      <c r="C10107">
        <v>232652</v>
      </c>
    </row>
    <row r="10108" spans="3:3">
      <c r="C10108">
        <v>232675</v>
      </c>
    </row>
    <row r="10109" spans="3:3">
      <c r="C10109">
        <v>232698</v>
      </c>
    </row>
    <row r="10110" spans="3:3">
      <c r="C10110">
        <v>232721</v>
      </c>
    </row>
    <row r="10111" spans="3:3">
      <c r="C10111">
        <v>232744</v>
      </c>
    </row>
    <row r="10112" spans="3:3">
      <c r="C10112">
        <v>232767</v>
      </c>
    </row>
    <row r="10113" spans="3:3">
      <c r="C10113">
        <v>232790</v>
      </c>
    </row>
    <row r="10114" spans="3:3">
      <c r="C10114">
        <v>232813</v>
      </c>
    </row>
    <row r="10115" spans="3:3">
      <c r="C10115">
        <v>232837</v>
      </c>
    </row>
    <row r="10116" spans="3:3">
      <c r="C10116">
        <v>232860</v>
      </c>
    </row>
    <row r="10117" spans="3:3">
      <c r="C10117">
        <v>232883</v>
      </c>
    </row>
    <row r="10118" spans="3:3">
      <c r="C10118">
        <v>232906</v>
      </c>
    </row>
    <row r="10119" spans="3:3">
      <c r="C10119">
        <v>232929</v>
      </c>
    </row>
    <row r="10120" spans="3:3">
      <c r="C10120">
        <v>232952</v>
      </c>
    </row>
    <row r="10121" spans="3:3">
      <c r="C10121">
        <v>232975</v>
      </c>
    </row>
    <row r="10122" spans="3:3">
      <c r="C10122">
        <v>232998</v>
      </c>
    </row>
    <row r="10123" spans="3:3">
      <c r="C10123">
        <v>233021</v>
      </c>
    </row>
    <row r="10124" spans="3:3">
      <c r="C10124">
        <v>233044</v>
      </c>
    </row>
    <row r="10125" spans="3:3">
      <c r="C10125">
        <v>233067</v>
      </c>
    </row>
    <row r="10126" spans="3:3">
      <c r="C10126">
        <v>233090</v>
      </c>
    </row>
    <row r="10127" spans="3:3">
      <c r="C10127">
        <v>233113</v>
      </c>
    </row>
    <row r="10128" spans="3:3">
      <c r="C10128">
        <v>233137</v>
      </c>
    </row>
    <row r="10129" spans="3:3">
      <c r="C10129">
        <v>233160</v>
      </c>
    </row>
    <row r="10130" spans="3:3">
      <c r="C10130">
        <v>233183</v>
      </c>
    </row>
    <row r="10131" spans="3:3">
      <c r="C10131">
        <v>233206</v>
      </c>
    </row>
    <row r="10132" spans="3:3">
      <c r="C10132">
        <v>233229</v>
      </c>
    </row>
    <row r="10133" spans="3:3">
      <c r="C10133">
        <v>233252</v>
      </c>
    </row>
    <row r="10134" spans="3:3">
      <c r="C10134">
        <v>233275</v>
      </c>
    </row>
    <row r="10135" spans="3:3">
      <c r="C10135">
        <v>233298</v>
      </c>
    </row>
    <row r="10136" spans="3:3">
      <c r="C10136">
        <v>233321</v>
      </c>
    </row>
    <row r="10137" spans="3:3">
      <c r="C10137">
        <v>233344</v>
      </c>
    </row>
    <row r="10138" spans="3:3">
      <c r="C10138">
        <v>233367</v>
      </c>
    </row>
    <row r="10139" spans="3:3">
      <c r="C10139">
        <v>233390</v>
      </c>
    </row>
    <row r="10140" spans="3:3">
      <c r="C10140">
        <v>233413</v>
      </c>
    </row>
    <row r="10141" spans="3:3">
      <c r="C10141">
        <v>233437</v>
      </c>
    </row>
    <row r="10142" spans="3:3">
      <c r="C10142">
        <v>233460</v>
      </c>
    </row>
    <row r="10143" spans="3:3">
      <c r="C10143">
        <v>233483</v>
      </c>
    </row>
    <row r="10144" spans="3:3">
      <c r="C10144">
        <v>233506</v>
      </c>
    </row>
    <row r="10145" spans="3:3">
      <c r="C10145">
        <v>233529</v>
      </c>
    </row>
    <row r="10146" spans="3:3">
      <c r="C10146">
        <v>233552</v>
      </c>
    </row>
    <row r="10147" spans="3:3">
      <c r="C10147">
        <v>233575</v>
      </c>
    </row>
    <row r="10148" spans="3:3">
      <c r="C10148">
        <v>233598</v>
      </c>
    </row>
    <row r="10149" spans="3:3">
      <c r="C10149">
        <v>233621</v>
      </c>
    </row>
    <row r="10150" spans="3:3">
      <c r="C10150">
        <v>233644</v>
      </c>
    </row>
    <row r="10151" spans="3:3">
      <c r="C10151">
        <v>233667</v>
      </c>
    </row>
    <row r="10152" spans="3:3">
      <c r="C10152">
        <v>233690</v>
      </c>
    </row>
    <row r="10153" spans="3:3">
      <c r="C10153">
        <v>233713</v>
      </c>
    </row>
    <row r="10154" spans="3:3">
      <c r="C10154">
        <v>233737</v>
      </c>
    </row>
    <row r="10155" spans="3:3">
      <c r="C10155">
        <v>233760</v>
      </c>
    </row>
    <row r="10156" spans="3:3">
      <c r="C10156">
        <v>233783</v>
      </c>
    </row>
    <row r="10157" spans="3:3">
      <c r="C10157">
        <v>233806</v>
      </c>
    </row>
    <row r="10158" spans="3:3">
      <c r="C10158">
        <v>233829</v>
      </c>
    </row>
    <row r="10159" spans="3:3">
      <c r="C10159">
        <v>233852</v>
      </c>
    </row>
    <row r="10160" spans="3:3">
      <c r="C10160">
        <v>233875</v>
      </c>
    </row>
    <row r="10161" spans="3:3">
      <c r="C10161">
        <v>233898</v>
      </c>
    </row>
    <row r="10162" spans="3:3">
      <c r="C10162">
        <v>233921</v>
      </c>
    </row>
    <row r="10163" spans="3:3">
      <c r="C10163">
        <v>233944</v>
      </c>
    </row>
    <row r="10164" spans="3:3">
      <c r="C10164">
        <v>233967</v>
      </c>
    </row>
    <row r="10165" spans="3:3">
      <c r="C10165">
        <v>233990</v>
      </c>
    </row>
    <row r="10166" spans="3:3">
      <c r="C10166">
        <v>234013</v>
      </c>
    </row>
    <row r="10167" spans="3:3">
      <c r="C10167">
        <v>234037</v>
      </c>
    </row>
    <row r="10168" spans="3:3">
      <c r="C10168">
        <v>234060</v>
      </c>
    </row>
    <row r="10169" spans="3:3">
      <c r="C10169">
        <v>234083</v>
      </c>
    </row>
    <row r="10170" spans="3:3">
      <c r="C10170">
        <v>234106</v>
      </c>
    </row>
    <row r="10171" spans="3:3">
      <c r="C10171">
        <v>234129</v>
      </c>
    </row>
    <row r="10172" spans="3:3">
      <c r="C10172">
        <v>234152</v>
      </c>
    </row>
    <row r="10173" spans="3:3">
      <c r="C10173">
        <v>234175</v>
      </c>
    </row>
    <row r="10174" spans="3:3">
      <c r="C10174">
        <v>234198</v>
      </c>
    </row>
    <row r="10175" spans="3:3">
      <c r="C10175">
        <v>234221</v>
      </c>
    </row>
    <row r="10176" spans="3:3">
      <c r="C10176">
        <v>234244</v>
      </c>
    </row>
    <row r="10177" spans="3:3">
      <c r="C10177">
        <v>234267</v>
      </c>
    </row>
    <row r="10178" spans="3:3">
      <c r="C10178">
        <v>234290</v>
      </c>
    </row>
    <row r="10179" spans="3:3">
      <c r="C10179">
        <v>234313</v>
      </c>
    </row>
    <row r="10180" spans="3:3">
      <c r="C10180">
        <v>234337</v>
      </c>
    </row>
    <row r="10181" spans="3:3">
      <c r="C10181">
        <v>234360</v>
      </c>
    </row>
    <row r="10182" spans="3:3">
      <c r="C10182">
        <v>234383</v>
      </c>
    </row>
    <row r="10183" spans="3:3">
      <c r="C10183">
        <v>234406</v>
      </c>
    </row>
    <row r="10184" spans="3:3">
      <c r="C10184">
        <v>234429</v>
      </c>
    </row>
    <row r="10185" spans="3:3">
      <c r="C10185">
        <v>234452</v>
      </c>
    </row>
    <row r="10186" spans="3:3">
      <c r="C10186">
        <v>234475</v>
      </c>
    </row>
    <row r="10187" spans="3:3">
      <c r="C10187">
        <v>234498</v>
      </c>
    </row>
    <row r="10188" spans="3:3">
      <c r="C10188">
        <v>234521</v>
      </c>
    </row>
    <row r="10189" spans="3:3">
      <c r="C10189">
        <v>234544</v>
      </c>
    </row>
    <row r="10190" spans="3:3">
      <c r="C10190">
        <v>234567</v>
      </c>
    </row>
    <row r="10191" spans="3:3">
      <c r="C10191">
        <v>234590</v>
      </c>
    </row>
    <row r="10192" spans="3:3">
      <c r="C10192">
        <v>234613</v>
      </c>
    </row>
    <row r="10193" spans="3:3">
      <c r="C10193">
        <v>234637</v>
      </c>
    </row>
    <row r="10194" spans="3:3">
      <c r="C10194">
        <v>234660</v>
      </c>
    </row>
    <row r="10195" spans="3:3">
      <c r="C10195">
        <v>234683</v>
      </c>
    </row>
    <row r="10196" spans="3:3">
      <c r="C10196">
        <v>234706</v>
      </c>
    </row>
    <row r="10197" spans="3:3">
      <c r="C10197">
        <v>234729</v>
      </c>
    </row>
    <row r="10198" spans="3:3">
      <c r="C10198">
        <v>234752</v>
      </c>
    </row>
    <row r="10199" spans="3:3">
      <c r="C10199">
        <v>234775</v>
      </c>
    </row>
    <row r="10200" spans="3:3">
      <c r="C10200">
        <v>234798</v>
      </c>
    </row>
    <row r="10201" spans="3:3">
      <c r="C10201">
        <v>234821</v>
      </c>
    </row>
    <row r="10202" spans="3:3">
      <c r="C10202">
        <v>234844</v>
      </c>
    </row>
    <row r="10203" spans="3:3">
      <c r="C10203">
        <v>234867</v>
      </c>
    </row>
    <row r="10204" spans="3:3">
      <c r="C10204">
        <v>234890</v>
      </c>
    </row>
    <row r="10205" spans="3:3">
      <c r="C10205">
        <v>234913</v>
      </c>
    </row>
    <row r="10206" spans="3:3">
      <c r="C10206">
        <v>234937</v>
      </c>
    </row>
    <row r="10207" spans="3:3">
      <c r="C10207">
        <v>234960</v>
      </c>
    </row>
    <row r="10208" spans="3:3">
      <c r="C10208">
        <v>234983</v>
      </c>
    </row>
    <row r="10209" spans="3:3">
      <c r="C10209">
        <v>235006</v>
      </c>
    </row>
    <row r="10210" spans="3:3">
      <c r="C10210">
        <v>235029</v>
      </c>
    </row>
    <row r="10211" spans="3:3">
      <c r="C10211">
        <v>235052</v>
      </c>
    </row>
    <row r="10212" spans="3:3">
      <c r="C10212">
        <v>235075</v>
      </c>
    </row>
    <row r="10213" spans="3:3">
      <c r="C10213">
        <v>235098</v>
      </c>
    </row>
    <row r="10214" spans="3:3">
      <c r="C10214">
        <v>235121</v>
      </c>
    </row>
    <row r="10215" spans="3:3">
      <c r="C10215">
        <v>235144</v>
      </c>
    </row>
    <row r="10216" spans="3:3">
      <c r="C10216">
        <v>235167</v>
      </c>
    </row>
    <row r="10217" spans="3:3">
      <c r="C10217">
        <v>235190</v>
      </c>
    </row>
    <row r="10218" spans="3:3">
      <c r="C10218">
        <v>235213</v>
      </c>
    </row>
    <row r="10219" spans="3:3">
      <c r="C10219">
        <v>235237</v>
      </c>
    </row>
    <row r="10220" spans="3:3">
      <c r="C10220">
        <v>235260</v>
      </c>
    </row>
    <row r="10221" spans="3:3">
      <c r="C10221">
        <v>235283</v>
      </c>
    </row>
    <row r="10222" spans="3:3">
      <c r="C10222">
        <v>235306</v>
      </c>
    </row>
    <row r="10223" spans="3:3">
      <c r="C10223">
        <v>235329</v>
      </c>
    </row>
    <row r="10224" spans="3:3">
      <c r="C10224">
        <v>235352</v>
      </c>
    </row>
    <row r="10225" spans="3:3">
      <c r="C10225">
        <v>235375</v>
      </c>
    </row>
    <row r="10226" spans="3:3">
      <c r="C10226">
        <v>235398</v>
      </c>
    </row>
    <row r="10227" spans="3:3">
      <c r="C10227">
        <v>235421</v>
      </c>
    </row>
    <row r="10228" spans="3:3">
      <c r="C10228">
        <v>235444</v>
      </c>
    </row>
    <row r="10229" spans="3:3">
      <c r="C10229">
        <v>235467</v>
      </c>
    </row>
    <row r="10230" spans="3:3">
      <c r="C10230">
        <v>235490</v>
      </c>
    </row>
    <row r="10231" spans="3:3">
      <c r="C10231">
        <v>235513</v>
      </c>
    </row>
    <row r="10232" spans="3:3">
      <c r="C10232">
        <v>235537</v>
      </c>
    </row>
    <row r="10233" spans="3:3">
      <c r="C10233">
        <v>235560</v>
      </c>
    </row>
    <row r="10234" spans="3:3">
      <c r="C10234">
        <v>235583</v>
      </c>
    </row>
    <row r="10235" spans="3:3">
      <c r="C10235">
        <v>235606</v>
      </c>
    </row>
    <row r="10236" spans="3:3">
      <c r="C10236">
        <v>235629</v>
      </c>
    </row>
    <row r="10237" spans="3:3">
      <c r="C10237">
        <v>235652</v>
      </c>
    </row>
    <row r="10238" spans="3:3">
      <c r="C10238">
        <v>235675</v>
      </c>
    </row>
    <row r="10239" spans="3:3">
      <c r="C10239">
        <v>235698</v>
      </c>
    </row>
    <row r="10240" spans="3:3">
      <c r="C10240">
        <v>235721</v>
      </c>
    </row>
    <row r="10241" spans="3:3">
      <c r="C10241">
        <v>235744</v>
      </c>
    </row>
    <row r="10242" spans="3:3">
      <c r="C10242">
        <v>235767</v>
      </c>
    </row>
    <row r="10243" spans="3:3">
      <c r="C10243">
        <v>235790</v>
      </c>
    </row>
    <row r="10244" spans="3:3">
      <c r="C10244">
        <v>235813</v>
      </c>
    </row>
    <row r="10245" spans="3:3">
      <c r="C10245">
        <v>235837</v>
      </c>
    </row>
    <row r="10246" spans="3:3">
      <c r="C10246">
        <v>235860</v>
      </c>
    </row>
    <row r="10247" spans="3:3">
      <c r="C10247">
        <v>235883</v>
      </c>
    </row>
    <row r="10248" spans="3:3">
      <c r="C10248">
        <v>235906</v>
      </c>
    </row>
    <row r="10249" spans="3:3">
      <c r="C10249">
        <v>235929</v>
      </c>
    </row>
    <row r="10250" spans="3:3">
      <c r="C10250">
        <v>235952</v>
      </c>
    </row>
    <row r="10251" spans="3:3">
      <c r="C10251">
        <v>235975</v>
      </c>
    </row>
    <row r="10252" spans="3:3">
      <c r="C10252">
        <v>235998</v>
      </c>
    </row>
    <row r="10253" spans="3:3">
      <c r="C10253">
        <v>236021</v>
      </c>
    </row>
    <row r="10254" spans="3:3">
      <c r="C10254">
        <v>236044</v>
      </c>
    </row>
    <row r="10255" spans="3:3">
      <c r="C10255">
        <v>236067</v>
      </c>
    </row>
    <row r="10256" spans="3:3">
      <c r="C10256">
        <v>236090</v>
      </c>
    </row>
    <row r="10257" spans="3:3">
      <c r="C10257">
        <v>236113</v>
      </c>
    </row>
    <row r="10258" spans="3:3">
      <c r="C10258">
        <v>236137</v>
      </c>
    </row>
    <row r="10259" spans="3:3">
      <c r="C10259">
        <v>236160</v>
      </c>
    </row>
    <row r="10260" spans="3:3">
      <c r="C10260">
        <v>236183</v>
      </c>
    </row>
    <row r="10261" spans="3:3">
      <c r="C10261">
        <v>236206</v>
      </c>
    </row>
    <row r="10262" spans="3:3">
      <c r="C10262">
        <v>236229</v>
      </c>
    </row>
    <row r="10263" spans="3:3">
      <c r="C10263">
        <v>236252</v>
      </c>
    </row>
    <row r="10264" spans="3:3">
      <c r="C10264">
        <v>236275</v>
      </c>
    </row>
    <row r="10265" spans="3:3">
      <c r="C10265">
        <v>236298</v>
      </c>
    </row>
    <row r="10266" spans="3:3">
      <c r="C10266">
        <v>236321</v>
      </c>
    </row>
    <row r="10267" spans="3:3">
      <c r="C10267">
        <v>236344</v>
      </c>
    </row>
    <row r="10268" spans="3:3">
      <c r="C10268">
        <v>236367</v>
      </c>
    </row>
    <row r="10269" spans="3:3">
      <c r="C10269">
        <v>236390</v>
      </c>
    </row>
    <row r="10270" spans="3:3">
      <c r="C10270">
        <v>236413</v>
      </c>
    </row>
    <row r="10271" spans="3:3">
      <c r="C10271">
        <v>236437</v>
      </c>
    </row>
    <row r="10272" spans="3:3">
      <c r="C10272">
        <v>236460</v>
      </c>
    </row>
    <row r="10273" spans="3:3">
      <c r="C10273">
        <v>236483</v>
      </c>
    </row>
    <row r="10274" spans="3:3">
      <c r="C10274">
        <v>236506</v>
      </c>
    </row>
    <row r="10275" spans="3:3">
      <c r="C10275">
        <v>236529</v>
      </c>
    </row>
    <row r="10276" spans="3:3">
      <c r="C10276">
        <v>236552</v>
      </c>
    </row>
    <row r="10277" spans="3:3">
      <c r="C10277">
        <v>236575</v>
      </c>
    </row>
    <row r="10278" spans="3:3">
      <c r="C10278">
        <v>236598</v>
      </c>
    </row>
    <row r="10279" spans="3:3">
      <c r="C10279">
        <v>236621</v>
      </c>
    </row>
    <row r="10280" spans="3:3">
      <c r="C10280">
        <v>236644</v>
      </c>
    </row>
    <row r="10281" spans="3:3">
      <c r="C10281">
        <v>236667</v>
      </c>
    </row>
    <row r="10282" spans="3:3">
      <c r="C10282">
        <v>236690</v>
      </c>
    </row>
    <row r="10283" spans="3:3">
      <c r="C10283">
        <v>236713</v>
      </c>
    </row>
    <row r="10284" spans="3:3">
      <c r="C10284">
        <v>236737</v>
      </c>
    </row>
    <row r="10285" spans="3:3">
      <c r="C10285">
        <v>236760</v>
      </c>
    </row>
    <row r="10286" spans="3:3">
      <c r="C10286">
        <v>236783</v>
      </c>
    </row>
    <row r="10287" spans="3:3">
      <c r="C10287">
        <v>236806</v>
      </c>
    </row>
    <row r="10288" spans="3:3">
      <c r="C10288">
        <v>236829</v>
      </c>
    </row>
    <row r="10289" spans="3:3">
      <c r="C10289">
        <v>236852</v>
      </c>
    </row>
    <row r="10290" spans="3:3">
      <c r="C10290">
        <v>236875</v>
      </c>
    </row>
    <row r="10291" spans="3:3">
      <c r="C10291">
        <v>236898</v>
      </c>
    </row>
    <row r="10292" spans="3:3">
      <c r="C10292">
        <v>236921</v>
      </c>
    </row>
    <row r="10293" spans="3:3">
      <c r="C10293">
        <v>236944</v>
      </c>
    </row>
    <row r="10294" spans="3:3">
      <c r="C10294">
        <v>236967</v>
      </c>
    </row>
    <row r="10295" spans="3:3">
      <c r="C10295">
        <v>236990</v>
      </c>
    </row>
    <row r="10296" spans="3:3">
      <c r="C10296">
        <v>237013</v>
      </c>
    </row>
    <row r="10297" spans="3:3">
      <c r="C10297">
        <v>237037</v>
      </c>
    </row>
    <row r="10298" spans="3:3">
      <c r="C10298">
        <v>237060</v>
      </c>
    </row>
    <row r="10299" spans="3:3">
      <c r="C10299">
        <v>237083</v>
      </c>
    </row>
    <row r="10300" spans="3:3">
      <c r="C10300">
        <v>237106</v>
      </c>
    </row>
    <row r="10301" spans="3:3">
      <c r="C10301">
        <v>237129</v>
      </c>
    </row>
    <row r="10302" spans="3:3">
      <c r="C10302">
        <v>237152</v>
      </c>
    </row>
    <row r="10303" spans="3:3">
      <c r="C10303">
        <v>237175</v>
      </c>
    </row>
    <row r="10304" spans="3:3">
      <c r="C10304">
        <v>237198</v>
      </c>
    </row>
    <row r="10305" spans="3:3">
      <c r="C10305">
        <v>237221</v>
      </c>
    </row>
    <row r="10306" spans="3:3">
      <c r="C10306">
        <v>237244</v>
      </c>
    </row>
    <row r="10307" spans="3:3">
      <c r="C10307">
        <v>237267</v>
      </c>
    </row>
    <row r="10308" spans="3:3">
      <c r="C10308">
        <v>237290</v>
      </c>
    </row>
    <row r="10309" spans="3:3">
      <c r="C10309">
        <v>237313</v>
      </c>
    </row>
    <row r="10310" spans="3:3">
      <c r="C10310">
        <v>237337</v>
      </c>
    </row>
    <row r="10311" spans="3:3">
      <c r="C10311">
        <v>237360</v>
      </c>
    </row>
    <row r="10312" spans="3:3">
      <c r="C10312">
        <v>237383</v>
      </c>
    </row>
    <row r="10313" spans="3:3">
      <c r="C10313">
        <v>237406</v>
      </c>
    </row>
    <row r="10314" spans="3:3">
      <c r="C10314">
        <v>237429</v>
      </c>
    </row>
    <row r="10315" spans="3:3">
      <c r="C10315">
        <v>237452</v>
      </c>
    </row>
    <row r="10316" spans="3:3">
      <c r="C10316">
        <v>237475</v>
      </c>
    </row>
    <row r="10317" spans="3:3">
      <c r="C10317">
        <v>237498</v>
      </c>
    </row>
    <row r="10318" spans="3:3">
      <c r="C10318">
        <v>237521</v>
      </c>
    </row>
    <row r="10319" spans="3:3">
      <c r="C10319">
        <v>237544</v>
      </c>
    </row>
    <row r="10320" spans="3:3">
      <c r="C10320">
        <v>237567</v>
      </c>
    </row>
    <row r="10321" spans="3:3">
      <c r="C10321">
        <v>237590</v>
      </c>
    </row>
    <row r="10322" spans="3:3">
      <c r="C10322">
        <v>237613</v>
      </c>
    </row>
    <row r="10323" spans="3:3">
      <c r="C10323">
        <v>237637</v>
      </c>
    </row>
    <row r="10324" spans="3:3">
      <c r="C10324">
        <v>237660</v>
      </c>
    </row>
    <row r="10325" spans="3:3">
      <c r="C10325">
        <v>237683</v>
      </c>
    </row>
    <row r="10326" spans="3:3">
      <c r="C10326">
        <v>237706</v>
      </c>
    </row>
    <row r="10327" spans="3:3">
      <c r="C10327">
        <v>237729</v>
      </c>
    </row>
    <row r="10328" spans="3:3">
      <c r="C10328">
        <v>237752</v>
      </c>
    </row>
    <row r="10329" spans="3:3">
      <c r="C10329">
        <v>237775</v>
      </c>
    </row>
    <row r="10330" spans="3:3">
      <c r="C10330">
        <v>237798</v>
      </c>
    </row>
    <row r="10331" spans="3:3">
      <c r="C10331">
        <v>237821</v>
      </c>
    </row>
    <row r="10332" spans="3:3">
      <c r="C10332">
        <v>237844</v>
      </c>
    </row>
    <row r="10333" spans="3:3">
      <c r="C10333">
        <v>237867</v>
      </c>
    </row>
    <row r="10334" spans="3:3">
      <c r="C10334">
        <v>237890</v>
      </c>
    </row>
    <row r="10335" spans="3:3">
      <c r="C10335">
        <v>237913</v>
      </c>
    </row>
    <row r="10336" spans="3:3">
      <c r="C10336">
        <v>237937</v>
      </c>
    </row>
    <row r="10337" spans="3:3">
      <c r="C10337">
        <v>237960</v>
      </c>
    </row>
    <row r="10338" spans="3:3">
      <c r="C10338">
        <v>237983</v>
      </c>
    </row>
    <row r="10339" spans="3:3">
      <c r="C10339">
        <v>238006</v>
      </c>
    </row>
    <row r="10340" spans="3:3">
      <c r="C10340">
        <v>238029</v>
      </c>
    </row>
    <row r="10341" spans="3:3">
      <c r="C10341">
        <v>238052</v>
      </c>
    </row>
    <row r="10342" spans="3:3">
      <c r="C10342">
        <v>238075</v>
      </c>
    </row>
    <row r="10343" spans="3:3">
      <c r="C10343">
        <v>238098</v>
      </c>
    </row>
    <row r="10344" spans="3:3">
      <c r="C10344">
        <v>238121</v>
      </c>
    </row>
    <row r="10345" spans="3:3">
      <c r="C10345">
        <v>238144</v>
      </c>
    </row>
    <row r="10346" spans="3:3">
      <c r="C10346">
        <v>238167</v>
      </c>
    </row>
    <row r="10347" spans="3:3">
      <c r="C10347">
        <v>238190</v>
      </c>
    </row>
    <row r="10348" spans="3:3">
      <c r="C10348">
        <v>238213</v>
      </c>
    </row>
    <row r="10349" spans="3:3">
      <c r="C10349">
        <v>238237</v>
      </c>
    </row>
    <row r="10350" spans="3:3">
      <c r="C10350">
        <v>238260</v>
      </c>
    </row>
    <row r="10351" spans="3:3">
      <c r="C10351">
        <v>238283</v>
      </c>
    </row>
    <row r="10352" spans="3:3">
      <c r="C10352">
        <v>238306</v>
      </c>
    </row>
    <row r="10353" spans="3:3">
      <c r="C10353">
        <v>238329</v>
      </c>
    </row>
    <row r="10354" spans="3:3">
      <c r="C10354">
        <v>238352</v>
      </c>
    </row>
    <row r="10355" spans="3:3">
      <c r="C10355">
        <v>238375</v>
      </c>
    </row>
    <row r="10356" spans="3:3">
      <c r="C10356">
        <v>238398</v>
      </c>
    </row>
    <row r="10357" spans="3:3">
      <c r="C10357">
        <v>238421</v>
      </c>
    </row>
    <row r="10358" spans="3:3">
      <c r="C10358">
        <v>238444</v>
      </c>
    </row>
    <row r="10359" spans="3:3">
      <c r="C10359">
        <v>238467</v>
      </c>
    </row>
    <row r="10360" spans="3:3">
      <c r="C10360">
        <v>238490</v>
      </c>
    </row>
    <row r="10361" spans="3:3">
      <c r="C10361">
        <v>238513</v>
      </c>
    </row>
    <row r="10362" spans="3:3">
      <c r="C10362">
        <v>238537</v>
      </c>
    </row>
    <row r="10363" spans="3:3">
      <c r="C10363">
        <v>238560</v>
      </c>
    </row>
    <row r="10364" spans="3:3">
      <c r="C10364">
        <v>238583</v>
      </c>
    </row>
    <row r="10365" spans="3:3">
      <c r="C10365">
        <v>238606</v>
      </c>
    </row>
    <row r="10366" spans="3:3">
      <c r="C10366">
        <v>238629</v>
      </c>
    </row>
    <row r="10367" spans="3:3">
      <c r="C10367">
        <v>238652</v>
      </c>
    </row>
    <row r="10368" spans="3:3">
      <c r="C10368">
        <v>238675</v>
      </c>
    </row>
    <row r="10369" spans="3:3">
      <c r="C10369">
        <v>238698</v>
      </c>
    </row>
    <row r="10370" spans="3:3">
      <c r="C10370">
        <v>238721</v>
      </c>
    </row>
    <row r="10371" spans="3:3">
      <c r="C10371">
        <v>238744</v>
      </c>
    </row>
    <row r="10372" spans="3:3">
      <c r="C10372">
        <v>238767</v>
      </c>
    </row>
    <row r="10373" spans="3:3">
      <c r="C10373">
        <v>238790</v>
      </c>
    </row>
    <row r="10374" spans="3:3">
      <c r="C10374">
        <v>238813</v>
      </c>
    </row>
    <row r="10375" spans="3:3">
      <c r="C10375">
        <v>238837</v>
      </c>
    </row>
    <row r="10376" spans="3:3">
      <c r="C10376">
        <v>238860</v>
      </c>
    </row>
    <row r="10377" spans="3:3">
      <c r="C10377">
        <v>238883</v>
      </c>
    </row>
    <row r="10378" spans="3:3">
      <c r="C10378">
        <v>238906</v>
      </c>
    </row>
    <row r="10379" spans="3:3">
      <c r="C10379">
        <v>238929</v>
      </c>
    </row>
    <row r="10380" spans="3:3">
      <c r="C10380">
        <v>238952</v>
      </c>
    </row>
    <row r="10381" spans="3:3">
      <c r="C10381">
        <v>238975</v>
      </c>
    </row>
    <row r="10382" spans="3:3">
      <c r="C10382">
        <v>238998</v>
      </c>
    </row>
    <row r="10383" spans="3:3">
      <c r="C10383">
        <v>239021</v>
      </c>
    </row>
    <row r="10384" spans="3:3">
      <c r="C10384">
        <v>239044</v>
      </c>
    </row>
    <row r="10385" spans="3:3">
      <c r="C10385">
        <v>239067</v>
      </c>
    </row>
    <row r="10386" spans="3:3">
      <c r="C10386">
        <v>239090</v>
      </c>
    </row>
    <row r="10387" spans="3:3">
      <c r="C10387">
        <v>239113</v>
      </c>
    </row>
    <row r="10388" spans="3:3">
      <c r="C10388">
        <v>239137</v>
      </c>
    </row>
    <row r="10389" spans="3:3">
      <c r="C10389">
        <v>239160</v>
      </c>
    </row>
    <row r="10390" spans="3:3">
      <c r="C10390">
        <v>239183</v>
      </c>
    </row>
    <row r="10391" spans="3:3">
      <c r="C10391">
        <v>239206</v>
      </c>
    </row>
    <row r="10392" spans="3:3">
      <c r="C10392">
        <v>239229</v>
      </c>
    </row>
    <row r="10393" spans="3:3">
      <c r="C10393">
        <v>239252</v>
      </c>
    </row>
    <row r="10394" spans="3:3">
      <c r="C10394">
        <v>239275</v>
      </c>
    </row>
    <row r="10395" spans="3:3">
      <c r="C10395">
        <v>239298</v>
      </c>
    </row>
    <row r="10396" spans="3:3">
      <c r="C10396">
        <v>239321</v>
      </c>
    </row>
    <row r="10397" spans="3:3">
      <c r="C10397">
        <v>239344</v>
      </c>
    </row>
    <row r="10398" spans="3:3">
      <c r="C10398">
        <v>239367</v>
      </c>
    </row>
    <row r="10399" spans="3:3">
      <c r="C10399">
        <v>239390</v>
      </c>
    </row>
    <row r="10400" spans="3:3">
      <c r="C10400">
        <v>239413</v>
      </c>
    </row>
    <row r="10401" spans="3:3">
      <c r="C10401">
        <v>239437</v>
      </c>
    </row>
    <row r="10402" spans="3:3">
      <c r="C10402">
        <v>239460</v>
      </c>
    </row>
    <row r="10403" spans="3:3">
      <c r="C10403">
        <v>239483</v>
      </c>
    </row>
    <row r="10404" spans="3:3">
      <c r="C10404">
        <v>239506</v>
      </c>
    </row>
    <row r="10405" spans="3:3">
      <c r="C10405">
        <v>239529</v>
      </c>
    </row>
    <row r="10406" spans="3:3">
      <c r="C10406">
        <v>239552</v>
      </c>
    </row>
    <row r="10407" spans="3:3">
      <c r="C10407">
        <v>239575</v>
      </c>
    </row>
    <row r="10408" spans="3:3">
      <c r="C10408">
        <v>239598</v>
      </c>
    </row>
    <row r="10409" spans="3:3">
      <c r="C10409">
        <v>239621</v>
      </c>
    </row>
    <row r="10410" spans="3:3">
      <c r="C10410">
        <v>239644</v>
      </c>
    </row>
    <row r="10411" spans="3:3">
      <c r="C10411">
        <v>239667</v>
      </c>
    </row>
    <row r="10412" spans="3:3">
      <c r="C10412">
        <v>239690</v>
      </c>
    </row>
    <row r="10413" spans="3:3">
      <c r="C10413">
        <v>239713</v>
      </c>
    </row>
    <row r="10414" spans="3:3">
      <c r="C10414">
        <v>239737</v>
      </c>
    </row>
    <row r="10415" spans="3:3">
      <c r="C10415">
        <v>239760</v>
      </c>
    </row>
    <row r="10416" spans="3:3">
      <c r="C10416">
        <v>239783</v>
      </c>
    </row>
    <row r="10417" spans="3:3">
      <c r="C10417">
        <v>239806</v>
      </c>
    </row>
    <row r="10418" spans="3:3">
      <c r="C10418">
        <v>239829</v>
      </c>
    </row>
    <row r="10419" spans="3:3">
      <c r="C10419">
        <v>239852</v>
      </c>
    </row>
    <row r="10420" spans="3:3">
      <c r="C10420">
        <v>239875</v>
      </c>
    </row>
    <row r="10421" spans="3:3">
      <c r="C10421">
        <v>239898</v>
      </c>
    </row>
    <row r="10422" spans="3:3">
      <c r="C10422">
        <v>239921</v>
      </c>
    </row>
    <row r="10423" spans="3:3">
      <c r="C10423">
        <v>239944</v>
      </c>
    </row>
    <row r="10424" spans="3:3">
      <c r="C10424">
        <v>239967</v>
      </c>
    </row>
    <row r="10425" spans="3:3">
      <c r="C10425">
        <v>239990</v>
      </c>
    </row>
    <row r="10426" spans="3:3">
      <c r="C10426">
        <v>240013</v>
      </c>
    </row>
    <row r="10427" spans="3:3">
      <c r="C10427">
        <v>240037</v>
      </c>
    </row>
    <row r="10428" spans="3:3">
      <c r="C10428">
        <v>240060</v>
      </c>
    </row>
    <row r="10429" spans="3:3">
      <c r="C10429">
        <v>240083</v>
      </c>
    </row>
    <row r="10430" spans="3:3">
      <c r="C10430">
        <v>240106</v>
      </c>
    </row>
    <row r="10431" spans="3:3">
      <c r="C10431">
        <v>240129</v>
      </c>
    </row>
    <row r="10432" spans="3:3">
      <c r="C10432">
        <v>240152</v>
      </c>
    </row>
    <row r="10433" spans="3:3">
      <c r="C10433">
        <v>240175</v>
      </c>
    </row>
    <row r="10434" spans="3:3">
      <c r="C10434">
        <v>240198</v>
      </c>
    </row>
    <row r="10435" spans="3:3">
      <c r="C10435">
        <v>240221</v>
      </c>
    </row>
    <row r="10436" spans="3:3">
      <c r="C10436">
        <v>240244</v>
      </c>
    </row>
    <row r="10437" spans="3:3">
      <c r="C10437">
        <v>240267</v>
      </c>
    </row>
    <row r="10438" spans="3:3">
      <c r="C10438">
        <v>240290</v>
      </c>
    </row>
    <row r="10439" spans="3:3">
      <c r="C10439">
        <v>240313</v>
      </c>
    </row>
    <row r="10440" spans="3:3">
      <c r="C10440">
        <v>240337</v>
      </c>
    </row>
    <row r="10441" spans="3:3">
      <c r="C10441">
        <v>240360</v>
      </c>
    </row>
    <row r="10442" spans="3:3">
      <c r="C10442">
        <v>240383</v>
      </c>
    </row>
    <row r="10443" spans="3:3">
      <c r="C10443">
        <v>240406</v>
      </c>
    </row>
    <row r="10444" spans="3:3">
      <c r="C10444">
        <v>240429</v>
      </c>
    </row>
    <row r="10445" spans="3:3">
      <c r="C10445">
        <v>240452</v>
      </c>
    </row>
    <row r="10446" spans="3:3">
      <c r="C10446">
        <v>240475</v>
      </c>
    </row>
    <row r="10447" spans="3:3">
      <c r="C10447">
        <v>240498</v>
      </c>
    </row>
    <row r="10448" spans="3:3">
      <c r="C10448">
        <v>240521</v>
      </c>
    </row>
    <row r="10449" spans="3:3">
      <c r="C10449">
        <v>240544</v>
      </c>
    </row>
    <row r="10450" spans="3:3">
      <c r="C10450">
        <v>240567</v>
      </c>
    </row>
    <row r="10451" spans="3:3">
      <c r="C10451">
        <v>240590</v>
      </c>
    </row>
    <row r="10452" spans="3:3">
      <c r="C10452">
        <v>240613</v>
      </c>
    </row>
    <row r="10453" spans="3:3">
      <c r="C10453">
        <v>240637</v>
      </c>
    </row>
    <row r="10454" spans="3:3">
      <c r="C10454">
        <v>240660</v>
      </c>
    </row>
    <row r="10455" spans="3:3">
      <c r="C10455">
        <v>240683</v>
      </c>
    </row>
    <row r="10456" spans="3:3">
      <c r="C10456">
        <v>240706</v>
      </c>
    </row>
    <row r="10457" spans="3:3">
      <c r="C10457">
        <v>240729</v>
      </c>
    </row>
    <row r="10458" spans="3:3">
      <c r="C10458">
        <v>240752</v>
      </c>
    </row>
    <row r="10459" spans="3:3">
      <c r="C10459">
        <v>240775</v>
      </c>
    </row>
    <row r="10460" spans="3:3">
      <c r="C10460">
        <v>240798</v>
      </c>
    </row>
    <row r="10461" spans="3:3">
      <c r="C10461">
        <v>240821</v>
      </c>
    </row>
    <row r="10462" spans="3:3">
      <c r="C10462">
        <v>240844</v>
      </c>
    </row>
    <row r="10463" spans="3:3">
      <c r="C10463">
        <v>240867</v>
      </c>
    </row>
    <row r="10464" spans="3:3">
      <c r="C10464">
        <v>240890</v>
      </c>
    </row>
    <row r="10465" spans="3:3">
      <c r="C10465">
        <v>240913</v>
      </c>
    </row>
    <row r="10466" spans="3:3">
      <c r="C10466">
        <v>240937</v>
      </c>
    </row>
    <row r="10467" spans="3:3">
      <c r="C10467">
        <v>240960</v>
      </c>
    </row>
    <row r="10468" spans="3:3">
      <c r="C10468">
        <v>240983</v>
      </c>
    </row>
    <row r="10469" spans="3:3">
      <c r="C10469">
        <v>241006</v>
      </c>
    </row>
    <row r="10470" spans="3:3">
      <c r="C10470">
        <v>241029</v>
      </c>
    </row>
    <row r="10471" spans="3:3">
      <c r="C10471">
        <v>241052</v>
      </c>
    </row>
    <row r="10472" spans="3:3">
      <c r="C10472">
        <v>241075</v>
      </c>
    </row>
    <row r="10473" spans="3:3">
      <c r="C10473">
        <v>241098</v>
      </c>
    </row>
    <row r="10474" spans="3:3">
      <c r="C10474">
        <v>241121</v>
      </c>
    </row>
    <row r="10475" spans="3:3">
      <c r="C10475">
        <v>241144</v>
      </c>
    </row>
    <row r="10476" spans="3:3">
      <c r="C10476">
        <v>241167</v>
      </c>
    </row>
    <row r="10477" spans="3:3">
      <c r="C10477">
        <v>241190</v>
      </c>
    </row>
    <row r="10478" spans="3:3">
      <c r="C10478">
        <v>241213</v>
      </c>
    </row>
    <row r="10479" spans="3:3">
      <c r="C10479">
        <v>241237</v>
      </c>
    </row>
    <row r="10480" spans="3:3">
      <c r="C10480">
        <v>241260</v>
      </c>
    </row>
    <row r="10481" spans="3:3">
      <c r="C10481">
        <v>241283</v>
      </c>
    </row>
    <row r="10482" spans="3:3">
      <c r="C10482">
        <v>241306</v>
      </c>
    </row>
    <row r="10483" spans="3:3">
      <c r="C10483">
        <v>241329</v>
      </c>
    </row>
    <row r="10484" spans="3:3">
      <c r="C10484">
        <v>241352</v>
      </c>
    </row>
    <row r="10485" spans="3:3">
      <c r="C10485">
        <v>241375</v>
      </c>
    </row>
    <row r="10486" spans="3:3">
      <c r="C10486">
        <v>241398</v>
      </c>
    </row>
    <row r="10487" spans="3:3">
      <c r="C10487">
        <v>241421</v>
      </c>
    </row>
    <row r="10488" spans="3:3">
      <c r="C10488">
        <v>241444</v>
      </c>
    </row>
    <row r="10489" spans="3:3">
      <c r="C10489">
        <v>241467</v>
      </c>
    </row>
    <row r="10490" spans="3:3">
      <c r="C10490">
        <v>241490</v>
      </c>
    </row>
    <row r="10491" spans="3:3">
      <c r="C10491">
        <v>241513</v>
      </c>
    </row>
    <row r="10492" spans="3:3">
      <c r="C10492">
        <v>241537</v>
      </c>
    </row>
    <row r="10493" spans="3:3">
      <c r="C10493">
        <v>241560</v>
      </c>
    </row>
    <row r="10494" spans="3:3">
      <c r="C10494">
        <v>241583</v>
      </c>
    </row>
    <row r="10495" spans="3:3">
      <c r="C10495">
        <v>241606</v>
      </c>
    </row>
    <row r="10496" spans="3:3">
      <c r="C10496">
        <v>241629</v>
      </c>
    </row>
    <row r="10497" spans="3:3">
      <c r="C10497">
        <v>241652</v>
      </c>
    </row>
    <row r="10498" spans="3:3">
      <c r="C10498">
        <v>241675</v>
      </c>
    </row>
    <row r="10499" spans="3:3">
      <c r="C10499">
        <v>241698</v>
      </c>
    </row>
    <row r="10500" spans="3:3">
      <c r="C10500">
        <v>241721</v>
      </c>
    </row>
    <row r="10501" spans="3:3">
      <c r="C10501">
        <v>241744</v>
      </c>
    </row>
    <row r="10502" spans="3:3">
      <c r="C10502">
        <v>241767</v>
      </c>
    </row>
    <row r="10503" spans="3:3">
      <c r="C10503">
        <v>241790</v>
      </c>
    </row>
    <row r="10504" spans="3:3">
      <c r="C10504">
        <v>241813</v>
      </c>
    </row>
    <row r="10505" spans="3:3">
      <c r="C10505">
        <v>241837</v>
      </c>
    </row>
    <row r="10506" spans="3:3">
      <c r="C10506">
        <v>241860</v>
      </c>
    </row>
    <row r="10507" spans="3:3">
      <c r="C10507">
        <v>241883</v>
      </c>
    </row>
    <row r="10508" spans="3:3">
      <c r="C10508">
        <v>241906</v>
      </c>
    </row>
    <row r="10509" spans="3:3">
      <c r="C10509">
        <v>241929</v>
      </c>
    </row>
    <row r="10510" spans="3:3">
      <c r="C10510">
        <v>241952</v>
      </c>
    </row>
    <row r="10511" spans="3:3">
      <c r="C10511">
        <v>241975</v>
      </c>
    </row>
    <row r="10512" spans="3:3">
      <c r="C10512">
        <v>241998</v>
      </c>
    </row>
    <row r="10513" spans="3:3">
      <c r="C10513">
        <v>242021</v>
      </c>
    </row>
    <row r="10514" spans="3:3">
      <c r="C10514">
        <v>242044</v>
      </c>
    </row>
    <row r="10515" spans="3:3">
      <c r="C10515">
        <v>242067</v>
      </c>
    </row>
    <row r="10516" spans="3:3">
      <c r="C10516">
        <v>242090</v>
      </c>
    </row>
    <row r="10517" spans="3:3">
      <c r="C10517">
        <v>242113</v>
      </c>
    </row>
    <row r="10518" spans="3:3">
      <c r="C10518">
        <v>242137</v>
      </c>
    </row>
    <row r="10519" spans="3:3">
      <c r="C10519">
        <v>242160</v>
      </c>
    </row>
    <row r="10520" spans="3:3">
      <c r="C10520">
        <v>242183</v>
      </c>
    </row>
    <row r="10521" spans="3:3">
      <c r="C10521">
        <v>242206</v>
      </c>
    </row>
    <row r="10522" spans="3:3">
      <c r="C10522">
        <v>242229</v>
      </c>
    </row>
    <row r="10523" spans="3:3">
      <c r="C10523">
        <v>242252</v>
      </c>
    </row>
    <row r="10524" spans="3:3">
      <c r="C10524">
        <v>242275</v>
      </c>
    </row>
    <row r="10525" spans="3:3">
      <c r="C10525">
        <v>242298</v>
      </c>
    </row>
    <row r="10526" spans="3:3">
      <c r="C10526">
        <v>242321</v>
      </c>
    </row>
    <row r="10527" spans="3:3">
      <c r="C10527">
        <v>242344</v>
      </c>
    </row>
    <row r="10528" spans="3:3">
      <c r="C10528">
        <v>242367</v>
      </c>
    </row>
    <row r="10529" spans="3:3">
      <c r="C10529">
        <v>242390</v>
      </c>
    </row>
    <row r="10530" spans="3:3">
      <c r="C10530">
        <v>242413</v>
      </c>
    </row>
    <row r="10531" spans="3:3">
      <c r="C10531">
        <v>242437</v>
      </c>
    </row>
    <row r="10532" spans="3:3">
      <c r="C10532">
        <v>242460</v>
      </c>
    </row>
    <row r="10533" spans="3:3">
      <c r="C10533">
        <v>242483</v>
      </c>
    </row>
    <row r="10534" spans="3:3">
      <c r="C10534">
        <v>242506</v>
      </c>
    </row>
    <row r="10535" spans="3:3">
      <c r="C10535">
        <v>242529</v>
      </c>
    </row>
    <row r="10536" spans="3:3">
      <c r="C10536">
        <v>242552</v>
      </c>
    </row>
    <row r="10537" spans="3:3">
      <c r="C10537">
        <v>242575</v>
      </c>
    </row>
    <row r="10538" spans="3:3">
      <c r="C10538">
        <v>242598</v>
      </c>
    </row>
    <row r="10539" spans="3:3">
      <c r="C10539">
        <v>242621</v>
      </c>
    </row>
    <row r="10540" spans="3:3">
      <c r="C10540">
        <v>242644</v>
      </c>
    </row>
    <row r="10541" spans="3:3">
      <c r="C10541">
        <v>242667</v>
      </c>
    </row>
    <row r="10542" spans="3:3">
      <c r="C10542">
        <v>242690</v>
      </c>
    </row>
    <row r="10543" spans="3:3">
      <c r="C10543">
        <v>242713</v>
      </c>
    </row>
    <row r="10544" spans="3:3">
      <c r="C10544">
        <v>242737</v>
      </c>
    </row>
    <row r="10545" spans="3:3">
      <c r="C10545">
        <v>242760</v>
      </c>
    </row>
    <row r="10546" spans="3:3">
      <c r="C10546">
        <v>242783</v>
      </c>
    </row>
    <row r="10547" spans="3:3">
      <c r="C10547">
        <v>242806</v>
      </c>
    </row>
    <row r="10548" spans="3:3">
      <c r="C10548">
        <v>242829</v>
      </c>
    </row>
    <row r="10549" spans="3:3">
      <c r="C10549">
        <v>242852</v>
      </c>
    </row>
    <row r="10550" spans="3:3">
      <c r="C10550">
        <v>242875</v>
      </c>
    </row>
    <row r="10551" spans="3:3">
      <c r="C10551">
        <v>242898</v>
      </c>
    </row>
    <row r="10552" spans="3:3">
      <c r="C10552">
        <v>242921</v>
      </c>
    </row>
    <row r="10553" spans="3:3">
      <c r="C10553">
        <v>242944</v>
      </c>
    </row>
    <row r="10554" spans="3:3">
      <c r="C10554">
        <v>242967</v>
      </c>
    </row>
    <row r="10555" spans="3:3">
      <c r="C10555">
        <v>242990</v>
      </c>
    </row>
    <row r="10556" spans="3:3">
      <c r="C10556">
        <v>243013</v>
      </c>
    </row>
    <row r="10557" spans="3:3">
      <c r="C10557">
        <v>243037</v>
      </c>
    </row>
    <row r="10558" spans="3:3">
      <c r="C10558">
        <v>243060</v>
      </c>
    </row>
    <row r="10559" spans="3:3">
      <c r="C10559">
        <v>243083</v>
      </c>
    </row>
    <row r="10560" spans="3:3">
      <c r="C10560">
        <v>243106</v>
      </c>
    </row>
    <row r="10561" spans="3:3">
      <c r="C10561">
        <v>243129</v>
      </c>
    </row>
    <row r="10562" spans="3:3">
      <c r="C10562">
        <v>243152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wxh</dc:creator>
  <cp:lastModifiedBy>wxh</cp:lastModifiedBy>
  <dcterms:created xsi:type="dcterms:W3CDTF">2026-04-14T11:48:00Z</dcterms:created>
  <dcterms:modified xsi:type="dcterms:W3CDTF">2026-04-20T16:05:37Z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71D9954DC9FC410199533171B5CBA151_11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